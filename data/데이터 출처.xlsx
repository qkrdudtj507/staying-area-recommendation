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데이터활용대회\새 폴더\"/>
    </mc:Choice>
  </mc:AlternateContent>
  <xr:revisionPtr revIDLastSave="0" documentId="13_ncr:9_{7547ABD4-7E47-4642-966E-3C5B514789F2}" xr6:coauthVersionLast="47" xr6:coauthVersionMax="47" xr10:uidLastSave="{00000000-0000-0000-0000-000000000000}"/>
  <bookViews>
    <workbookView xWindow="-108" yWindow="-108" windowWidth="23256" windowHeight="12456" activeTab="1" xr2:uid="{F0CE7910-AE50-45EB-A9A2-7CEF7867CE95}"/>
  </bookViews>
  <sheets>
    <sheet name="total2" sheetId="1" r:id="rId1"/>
    <sheet name="Sheet1" sheetId="3" r:id="rId2"/>
    <sheet name="비율 조정 데이터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" i="1"/>
  <c r="G3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5" i="2"/>
  <c r="G6" i="2"/>
  <c r="G7" i="2"/>
  <c r="G8" i="2"/>
  <c r="G9" i="2"/>
  <c r="G10" i="2"/>
  <c r="G11" i="2"/>
  <c r="G4" i="2"/>
  <c r="H3" i="2"/>
  <c r="V4" i="2"/>
  <c r="W4" i="2"/>
  <c r="X4" i="2"/>
  <c r="V5" i="2"/>
  <c r="W5" i="2"/>
  <c r="X5" i="2"/>
  <c r="V6" i="2"/>
  <c r="W6" i="2"/>
  <c r="X6" i="2"/>
  <c r="V7" i="2"/>
  <c r="W7" i="2"/>
  <c r="X7" i="2"/>
  <c r="V8" i="2"/>
  <c r="W8" i="2"/>
  <c r="X8" i="2"/>
  <c r="V9" i="2"/>
  <c r="W9" i="2"/>
  <c r="X9" i="2"/>
  <c r="V10" i="2"/>
  <c r="W10" i="2"/>
  <c r="X10" i="2"/>
  <c r="V11" i="2"/>
  <c r="W11" i="2"/>
  <c r="X11" i="2"/>
  <c r="V12" i="2"/>
  <c r="W12" i="2"/>
  <c r="X12" i="2"/>
  <c r="V13" i="2"/>
  <c r="W13" i="2"/>
  <c r="X13" i="2"/>
  <c r="V14" i="2"/>
  <c r="W14" i="2"/>
  <c r="X14" i="2"/>
  <c r="V15" i="2"/>
  <c r="W15" i="2"/>
  <c r="X15" i="2"/>
  <c r="V16" i="2"/>
  <c r="W16" i="2"/>
  <c r="X16" i="2"/>
  <c r="V17" i="2"/>
  <c r="W17" i="2"/>
  <c r="X17" i="2"/>
  <c r="V18" i="2"/>
  <c r="W18" i="2"/>
  <c r="X18" i="2"/>
  <c r="V19" i="2"/>
  <c r="W19" i="2"/>
  <c r="X19" i="2"/>
  <c r="V20" i="2"/>
  <c r="W20" i="2"/>
  <c r="X20" i="2"/>
  <c r="V21" i="2"/>
  <c r="W21" i="2"/>
  <c r="X21" i="2"/>
  <c r="V22" i="2"/>
  <c r="W22" i="2"/>
  <c r="X22" i="2"/>
  <c r="V23" i="2"/>
  <c r="W23" i="2"/>
  <c r="X23" i="2"/>
  <c r="V24" i="2"/>
  <c r="W24" i="2"/>
  <c r="X24" i="2"/>
  <c r="V25" i="2"/>
  <c r="W25" i="2"/>
  <c r="X25" i="2"/>
  <c r="V26" i="2"/>
  <c r="W26" i="2"/>
  <c r="X26" i="2"/>
  <c r="V27" i="2"/>
  <c r="W27" i="2"/>
  <c r="X27" i="2"/>
  <c r="V28" i="2"/>
  <c r="W28" i="2"/>
  <c r="X28" i="2"/>
  <c r="X3" i="2"/>
  <c r="W3" i="2"/>
  <c r="V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T20" i="2"/>
  <c r="U20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U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T3" i="2"/>
  <c r="S3" i="2"/>
  <c r="O26" i="2"/>
  <c r="P26" i="2"/>
  <c r="Q26" i="2"/>
  <c r="O27" i="2"/>
  <c r="P27" i="2"/>
  <c r="Q27" i="2"/>
  <c r="O28" i="2"/>
  <c r="P28" i="2"/>
  <c r="Q28" i="2"/>
  <c r="O4" i="2"/>
  <c r="P4" i="2"/>
  <c r="Q4" i="2"/>
  <c r="O5" i="2"/>
  <c r="P5" i="2"/>
  <c r="Q5" i="2"/>
  <c r="O6" i="2"/>
  <c r="P6" i="2"/>
  <c r="Q6" i="2"/>
  <c r="O7" i="2"/>
  <c r="P7" i="2"/>
  <c r="Q7" i="2"/>
  <c r="O8" i="2"/>
  <c r="P8" i="2"/>
  <c r="Q8" i="2"/>
  <c r="O9" i="2"/>
  <c r="P9" i="2"/>
  <c r="Q9" i="2"/>
  <c r="O10" i="2"/>
  <c r="P10" i="2"/>
  <c r="Q10" i="2"/>
  <c r="O11" i="2"/>
  <c r="P11" i="2"/>
  <c r="Q11" i="2"/>
  <c r="O12" i="2"/>
  <c r="P12" i="2"/>
  <c r="Q12" i="2"/>
  <c r="O13" i="2"/>
  <c r="P13" i="2"/>
  <c r="Q13" i="2"/>
  <c r="O14" i="2"/>
  <c r="P14" i="2"/>
  <c r="Q14" i="2"/>
  <c r="O15" i="2"/>
  <c r="P15" i="2"/>
  <c r="Q15" i="2"/>
  <c r="O16" i="2"/>
  <c r="P16" i="2"/>
  <c r="Q16" i="2"/>
  <c r="O17" i="2"/>
  <c r="P17" i="2"/>
  <c r="Q17" i="2"/>
  <c r="O18" i="2"/>
  <c r="P18" i="2"/>
  <c r="Q18" i="2"/>
  <c r="O19" i="2"/>
  <c r="P19" i="2"/>
  <c r="Q19" i="2"/>
  <c r="O20" i="2"/>
  <c r="P20" i="2"/>
  <c r="Q20" i="2"/>
  <c r="O21" i="2"/>
  <c r="P21" i="2"/>
  <c r="Q21" i="2"/>
  <c r="O22" i="2"/>
  <c r="P22" i="2"/>
  <c r="Q22" i="2"/>
  <c r="O23" i="2"/>
  <c r="P23" i="2"/>
  <c r="Q23" i="2"/>
  <c r="O24" i="2"/>
  <c r="P24" i="2"/>
  <c r="Q24" i="2"/>
  <c r="O25" i="2"/>
  <c r="P25" i="2"/>
  <c r="Q25" i="2"/>
  <c r="P3" i="2"/>
  <c r="Q3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3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K3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I3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3" i="2"/>
  <c r="D8" i="2"/>
  <c r="D14" i="2"/>
  <c r="D15" i="2"/>
  <c r="D16" i="2"/>
  <c r="D17" i="2"/>
  <c r="D18" i="2"/>
  <c r="D23" i="2"/>
  <c r="D24" i="2"/>
  <c r="D25" i="2"/>
  <c r="D26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" i="2"/>
  <c r="D5" i="2"/>
  <c r="D7" i="2"/>
  <c r="D10" i="2"/>
  <c r="D13" i="2"/>
  <c r="D21" i="2"/>
  <c r="L2" i="1"/>
  <c r="M4" i="2" s="1"/>
  <c r="D6" i="2"/>
  <c r="D9" i="2"/>
  <c r="D11" i="2"/>
  <c r="D12" i="2"/>
  <c r="D19" i="2"/>
  <c r="D20" i="2"/>
  <c r="D22" i="2"/>
  <c r="D27" i="2"/>
  <c r="D28" i="2"/>
  <c r="D4" i="2"/>
</calcChain>
</file>

<file path=xl/sharedStrings.xml><?xml version="1.0" encoding="utf-8"?>
<sst xmlns="http://schemas.openxmlformats.org/spreadsheetml/2006/main" count="203" uniqueCount="141">
  <si>
    <t>동별(2)</t>
  </si>
  <si>
    <t>소계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</si>
  <si>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</si>
  <si>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</si>
  <si>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</si>
  <si>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</si>
  <si>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</si>
  <si>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</si>
  <si>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</si>
  <si>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</si>
  <si>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</si>
  <si>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</si>
  <si>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</si>
  <si>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</si>
  <si>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</si>
  <si>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</si>
  <si>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</si>
  <si>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</si>
  <si>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</si>
  <si>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</si>
  <si>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</si>
  <si>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</si>
  <si>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</si>
  <si>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</si>
  <si>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</si>
  <si>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</si>
  <si>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</si>
  <si>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주민등록 인구 수(성별, 국적 무관)</t>
    <phoneticPr fontId="2" type="noConversion"/>
  </si>
  <si>
    <t>1인 가구 인구(연령 무관)</t>
    <phoneticPr fontId="2" type="noConversion"/>
  </si>
  <si>
    <t>5대 범죄 발생 건수</t>
    <phoneticPr fontId="2" type="noConversion"/>
  </si>
  <si>
    <t>녹지 개수</t>
    <phoneticPr fontId="2" type="noConversion"/>
  </si>
  <si>
    <t>녹지 면적 (㎡)</t>
    <phoneticPr fontId="2" type="noConversion"/>
  </si>
  <si>
    <t>가로등 개수</t>
    <phoneticPr fontId="2" type="noConversion"/>
  </si>
  <si>
    <t>등록 외국인 수</t>
    <phoneticPr fontId="2" type="noConversion"/>
  </si>
  <si>
    <t>생활 환경 만족도 종합</t>
    <phoneticPr fontId="2" type="noConversion"/>
  </si>
  <si>
    <t>월평균 소득(2024년1분기)</t>
    <phoneticPr fontId="2" type="noConversion"/>
  </si>
  <si>
    <t>유흥업소 수(신주소가 없는 곳 제외)</t>
    <phoneticPr fontId="2" type="noConversion"/>
  </si>
  <si>
    <t>방범용 cctv 대수</t>
    <phoneticPr fontId="2" type="noConversion"/>
  </si>
  <si>
    <t>대중교통 이용 건수</t>
    <phoneticPr fontId="2" type="noConversion"/>
  </si>
  <si>
    <t>소방서</t>
    <phoneticPr fontId="2" type="noConversion"/>
  </si>
  <si>
    <t>경찰서(지구대 포함)</t>
    <phoneticPr fontId="2" type="noConversion"/>
  </si>
  <si>
    <t>병원 수</t>
    <phoneticPr fontId="2" type="noConversion"/>
  </si>
  <si>
    <t>조이혼율 (천명당)</t>
  </si>
  <si>
    <t>횡단보도 개수</t>
  </si>
  <si>
    <t>신호등 개수</t>
  </si>
  <si>
    <t>여성안심지킴이집 수(도로명주소기준)</t>
    <phoneticPr fontId="2" type="noConversion"/>
  </si>
  <si>
    <t>자가용승용차 (대)</t>
  </si>
  <si>
    <t>주택가주차장 (면수)</t>
  </si>
  <si>
    <t>9-24 청소년 인구</t>
    <phoneticPr fontId="2" type="noConversion"/>
  </si>
  <si>
    <t>외국인 수/총 인구</t>
    <phoneticPr fontId="2" type="noConversion"/>
  </si>
  <si>
    <t>내국인 수/ 총인구</t>
    <phoneticPr fontId="2" type="noConversion"/>
  </si>
  <si>
    <t>1인 가구/총 인구</t>
    <phoneticPr fontId="2" type="noConversion"/>
  </si>
  <si>
    <t>면적(제곱킬로미터)</t>
    <phoneticPr fontId="2" type="noConversion"/>
  </si>
  <si>
    <t>가로등 수/면적 (제곱킬로미터)</t>
    <phoneticPr fontId="2" type="noConversion"/>
  </si>
  <si>
    <t>녹지 면적/ 면적 (제곱킬로미터)</t>
    <phoneticPr fontId="2" type="noConversion"/>
  </si>
  <si>
    <t>유흥업소 수/면적(제곱킬로미터)</t>
    <phoneticPr fontId="2" type="noConversion"/>
  </si>
  <si>
    <t>방범용 CCTV/면적(제곱미터)</t>
    <phoneticPr fontId="2" type="noConversion"/>
  </si>
  <si>
    <t>대중교통 이용 건수/총 인구</t>
    <phoneticPr fontId="2" type="noConversion"/>
  </si>
  <si>
    <t>경찰서/면적</t>
    <phoneticPr fontId="2" type="noConversion"/>
  </si>
  <si>
    <t>소방서 수/면적</t>
    <phoneticPr fontId="2" type="noConversion"/>
  </si>
  <si>
    <t>병원 수/면적</t>
    <phoneticPr fontId="2" type="noConversion"/>
  </si>
  <si>
    <t>신호등/면적</t>
    <phoneticPr fontId="2" type="noConversion"/>
  </si>
  <si>
    <t>황단보도/면적</t>
    <phoneticPr fontId="2" type="noConversion"/>
  </si>
  <si>
    <t>여성안심지킴이집/면적</t>
    <phoneticPr fontId="2" type="noConversion"/>
  </si>
  <si>
    <t>자가용승용차 (대)/인구</t>
    <phoneticPr fontId="2" type="noConversion"/>
  </si>
  <si>
    <t>주택가주차장 (면수)/인구</t>
    <phoneticPr fontId="2" type="noConversion"/>
  </si>
  <si>
    <t>청소년 인구/총 인구</t>
    <phoneticPr fontId="2" type="noConversion"/>
  </si>
  <si>
    <t>인구밀도</t>
    <phoneticPr fontId="2" type="noConversion"/>
  </si>
  <si>
    <t>통합대기환경지수</t>
  </si>
  <si>
    <t>이산화질소 농도(단위:ppm)</t>
  </si>
  <si>
    <t>오존 농도(단위:ppm)</t>
  </si>
  <si>
    <t>일산화탄소 농도(단위:ppm)</t>
  </si>
  <si>
    <t>아황산가스 농도(단위:ppm)</t>
  </si>
  <si>
    <t>미세먼지 농도(단위:㎍/㎥)</t>
  </si>
  <si>
    <t>초미세먼지 농도(단위:㎍/㎥)</t>
  </si>
  <si>
    <t>외식업</t>
  </si>
  <si>
    <t>서비스업</t>
  </si>
  <si>
    <t>소매업</t>
  </si>
  <si>
    <t>공공시설의 수</t>
  </si>
  <si>
    <t>커피 전문점 수</t>
  </si>
  <si>
    <t>편의점 수</t>
  </si>
  <si>
    <t>지하철 역개수</t>
  </si>
  <si>
    <t>버스 정류장 수</t>
  </si>
  <si>
    <t xml:space="preserve">범죄 발생수 수_2022 </t>
  </si>
  <si>
    <t>cctv수_2022</t>
  </si>
  <si>
    <t>가로등 수</t>
  </si>
  <si>
    <t>지구대, 파출소, 치안센터 수</t>
  </si>
  <si>
    <t>커피 전문점의 수</t>
  </si>
  <si>
    <t>병원 수</t>
  </si>
  <si>
    <t>지하철 역 수</t>
  </si>
  <si>
    <t>임대료</t>
  </si>
  <si>
    <t>보증금 전세</t>
  </si>
  <si>
    <t>관리비</t>
  </si>
  <si>
    <t xml:space="preserve">보증금 월세 </t>
    <phoneticPr fontId="2" type="noConversion"/>
  </si>
  <si>
    <t>서울시 열린 데이터 광장</t>
    <phoneticPr fontId="2" type="noConversion"/>
  </si>
  <si>
    <t>서울시 부동산 전월세가 정보</t>
    <phoneticPr fontId="2" type="noConversion"/>
  </si>
  <si>
    <t>서울특별시 공동주택 통합정보마당</t>
    <phoneticPr fontId="2" type="noConversion"/>
  </si>
  <si>
    <t>서울시 의료기관(구별)통계</t>
    <phoneticPr fontId="2" type="noConversion"/>
  </si>
  <si>
    <t>공공체육 시설</t>
    <phoneticPr fontId="2" type="noConversion"/>
  </si>
  <si>
    <t>공공 도서관</t>
    <phoneticPr fontId="2" type="noConversion"/>
  </si>
  <si>
    <t>공원</t>
    <phoneticPr fontId="2" type="noConversion"/>
  </si>
  <si>
    <t>문예회관</t>
    <phoneticPr fontId="2" type="noConversion"/>
  </si>
  <si>
    <t>종합사회복지관</t>
    <phoneticPr fontId="2" type="noConversion"/>
  </si>
  <si>
    <t>청소년 수련 시설</t>
    <phoneticPr fontId="2" type="noConversion"/>
  </si>
  <si>
    <t>구민(다목적)체육시설</t>
    <phoneticPr fontId="2" type="noConversion"/>
  </si>
  <si>
    <t>서울시 공공 체육시설 통계</t>
    <phoneticPr fontId="2" type="noConversion"/>
  </si>
  <si>
    <t>서울시 공공 도서관(구별) 통계</t>
    <phoneticPr fontId="2" type="noConversion"/>
  </si>
  <si>
    <t>서울시 버스 정류장 위치 정보</t>
    <phoneticPr fontId="2" type="noConversion"/>
  </si>
  <si>
    <t>지역·상권별 현황 - 지역별 현황 : 서울시 상권분석 서비스 (seoul.go.kr)</t>
  </si>
  <si>
    <t>서울시 상권 분석 서비스</t>
    <phoneticPr fontId="2" type="noConversion"/>
  </si>
  <si>
    <t>편의점 상권 현황(이건 내가 붙인 이름이고 데이터셋이 아니었음)</t>
    <phoneticPr fontId="2" type="noConversion"/>
  </si>
  <si>
    <t>서울시 5대 범죄 발생현황 통계</t>
    <phoneticPr fontId="2" type="noConversion"/>
  </si>
  <si>
    <t>서울시 도로 시설물 통계</t>
    <phoneticPr fontId="2" type="noConversion"/>
  </si>
  <si>
    <t>https://data.seoul.go.kr/dataList/316/S/2/datasetView.do</t>
  </si>
  <si>
    <t>https://data.seoul.go.kr/dataList/261/S/2/datasetView.do</t>
  </si>
  <si>
    <t>https://data.seoul.go.kr/dataList/OA-21097/F/1/datasetView.do</t>
  </si>
  <si>
    <t>서울시 자치구 (범죄예방 수사용) CCTV 설치현황</t>
    <phoneticPr fontId="2" type="noConversion"/>
  </si>
  <si>
    <t>https://data.seoul.go.kr/dataList/224/S/2/datasetView.do</t>
  </si>
  <si>
    <t>서울시 시내주요기관(경찰, 소방관서) 통계</t>
    <phoneticPr fontId="2" type="noConversion"/>
  </si>
  <si>
    <t>서울시 자치구별 신호등 및 횡단보도 수량</t>
    <phoneticPr fontId="2" type="noConversion"/>
  </si>
  <si>
    <t>https://data.seoul.go.kr/dataList/OA-21237/F/1/datasetView.do</t>
  </si>
  <si>
    <t>정보공개 &gt; 주요통계 &gt; 자치구별 관리비 &gt; 서울특별시 공동주택 통합정보마당 (seoul.go.kr)</t>
  </si>
  <si>
    <t>자치구별 관리비 통계</t>
    <phoneticPr fontId="2" type="noConversion"/>
  </si>
  <si>
    <t>https://data.seoul.go.kr/dataList/390/S/2/datasetView.do</t>
  </si>
  <si>
    <t>https://data.seoul.go.kr/dataList/388/S/2/datasetView.do</t>
  </si>
  <si>
    <t>https://data.seoul.go.kr/dataList/OA-15067/S/1/datasetView.do</t>
  </si>
  <si>
    <t>https://data.seoul.go.kr/dataList/OA-21276/S/1/datasetView.do</t>
  </si>
  <si>
    <t>https://data.seoul.go.kr/dataList/10052/S/2/datasetView.do</t>
  </si>
  <si>
    <t>서울시 공원 통계</t>
    <phoneticPr fontId="2" type="noConversion"/>
  </si>
  <si>
    <t>서울특별시_문화공간 (지역문화복지시설) 통계_20191231 | 공공데이터포털 (data.go.kr)</t>
  </si>
  <si>
    <t>공공 데이터 포털</t>
    <phoneticPr fontId="2" type="noConversion"/>
  </si>
  <si>
    <t>서울특별시_문화공간 (지역문화복지시설) 통계</t>
  </si>
  <si>
    <t>https://data.seoul.go.kr/dataList/173/S/2/datasetView.do</t>
  </si>
  <si>
    <t>서울시 사업체분포 (다수업종/동별) 통계&gt; 데이터셋&gt; 공공데이터 | 서울열린데이터광장 (seoul.go.kr)</t>
  </si>
  <si>
    <t>데이터 상세 | 공공데이터포털 (data.go.kr)</t>
  </si>
  <si>
    <t>서울교통공사_자치구별지하철역정보</t>
  </si>
  <si>
    <t>데이터 명</t>
    <phoneticPr fontId="2" type="noConversion"/>
  </si>
  <si>
    <t>출처</t>
    <phoneticPr fontId="2" type="noConversion"/>
  </si>
  <si>
    <t>관련 통계 자료</t>
    <phoneticPr fontId="2" type="noConversion"/>
  </si>
  <si>
    <t>링크</t>
    <phoneticPr fontId="2" type="noConversion"/>
  </si>
  <si>
    <t>서울시 사업체분포 (다수업종/동별) 통계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</si>
</sst>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3" fillId="0" borderId="1" xfId="0" applyNumberFormat="1" applyFont="1" applyFill="1" applyBorder="1" applyAlignment="1">
      <alignment vertical="center" wrapText="1"/>
    </xf>
    <xf numFmtId="0" fontId="0" fillId="0" borderId="2" xfId="1" applyNumberFormat="1" applyFont="1" applyFill="1" applyBorder="1" applyAlignment="1">
      <alignment horizontal="right"/>
    </xf>
    <xf numFmtId="0" fontId="3" fillId="0" borderId="2" xfId="0" applyNumberFormat="1" applyFont="1" applyFill="1" applyBorder="1" applyAlignment="1">
      <alignment vertical="center" wrapText="1"/>
    </xf>
    <xf numFmtId="0" fontId="0" fillId="0" borderId="2" xfId="0" applyFill="1" applyBorder="1" applyAlignment="1"/>
    <xf numFmtId="0" fontId="0" fillId="0" borderId="2" xfId="0" applyNumberFormat="1" applyFill="1" applyBorder="1" applyAlignment="1">
      <alignment horizontal="right"/>
    </xf>
    <xf numFmtId="0" fontId="4" fillId="0" borderId="0" xfId="2">
      <alignment vertical="center"/>
    </xf>
    <xf numFmtId="0" fontId="5" fillId="0" borderId="0" xfId="0" applyFont="1" applyAlignme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ta.go.kr/data/15081868/fileData.do" TargetMode="External"/><Relationship Id="rId3" Type="http://schemas.openxmlformats.org/officeDocument/2006/relationships/hyperlink" Target="https://www.data.go.kr/data/15046560/fileData.do" TargetMode="External"/><Relationship Id="rId7" Type="http://schemas.openxmlformats.org/officeDocument/2006/relationships/hyperlink" Target="https://data.seoul.go.kr/dataList/10590/S/2/datasetView.do" TargetMode="External"/><Relationship Id="rId2" Type="http://schemas.openxmlformats.org/officeDocument/2006/relationships/hyperlink" Target="https://openapt.seoul.go.kr/commonPortal/programLink.do?jspNm=/portal/aMenu/keyStatis/sstMgr.open&amp;comcod=gu" TargetMode="External"/><Relationship Id="rId1" Type="http://schemas.openxmlformats.org/officeDocument/2006/relationships/hyperlink" Target="https://golmok.seoul.go.kr/stateArea.do" TargetMode="External"/><Relationship Id="rId6" Type="http://schemas.openxmlformats.org/officeDocument/2006/relationships/hyperlink" Target="https://www.data.go.kr/data/15046560/fileData.do" TargetMode="External"/><Relationship Id="rId5" Type="http://schemas.openxmlformats.org/officeDocument/2006/relationships/hyperlink" Target="https://www.data.go.kr/data/15046560/fileData.do" TargetMode="External"/><Relationship Id="rId4" Type="http://schemas.openxmlformats.org/officeDocument/2006/relationships/hyperlink" Target="https://www.data.go.kr/data/15046560/fileData.do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8546-16F5-4DA6-9A86-28E5B8B783AC}">
  <dimension ref="A1:AM26"/>
  <sheetViews>
    <sheetView topLeftCell="H1" zoomScale="67" zoomScaleNormal="64" workbookViewId="0">
      <selection activeCell="AC17" sqref="AC17"/>
    </sheetView>
  </sheetViews>
  <sheetFormatPr defaultRowHeight="17.399999999999999" x14ac:dyDescent="0.4"/>
  <cols>
    <col min="2" max="2" width="14.69921875" customWidth="1"/>
    <col min="3" max="3" width="8.8984375" style="1" bestFit="1" customWidth="1"/>
    <col min="4" max="4" width="12" style="1" customWidth="1"/>
    <col min="5" max="6" width="8.8984375" style="1" bestFit="1" customWidth="1"/>
    <col min="7" max="7" width="10.3984375" style="1" bestFit="1" customWidth="1"/>
    <col min="8" max="8" width="8.8984375" style="1" bestFit="1" customWidth="1"/>
    <col min="9" max="9" width="8.8984375" style="1" customWidth="1"/>
    <col min="10" max="10" width="13.59765625" style="1" customWidth="1"/>
    <col min="11" max="11" width="8.796875" style="1"/>
    <col min="12" max="12" width="8.796875" style="2"/>
    <col min="13" max="13" width="15.69921875" style="2" customWidth="1"/>
    <col min="14" max="23" width="8.796875" style="1"/>
  </cols>
  <sheetData>
    <row r="1" spans="1:39" x14ac:dyDescent="0.4">
      <c r="A1" t="s">
        <v>0</v>
      </c>
      <c r="B1" t="s">
        <v>27</v>
      </c>
      <c r="C1" s="1" t="s">
        <v>33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34</v>
      </c>
      <c r="J1" s="1" t="s">
        <v>35</v>
      </c>
      <c r="K1" s="1" t="s">
        <v>36</v>
      </c>
      <c r="L1" s="2" t="s">
        <v>37</v>
      </c>
      <c r="M1" s="2" t="s">
        <v>38</v>
      </c>
      <c r="N1" s="2" t="s">
        <v>40</v>
      </c>
      <c r="O1" s="1" t="s">
        <v>39</v>
      </c>
      <c r="P1" s="2" t="s">
        <v>41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52</v>
      </c>
      <c r="X1" s="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s="8" t="s">
        <v>75</v>
      </c>
      <c r="AG1" s="8" t="s">
        <v>76</v>
      </c>
      <c r="AH1" s="8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</row>
    <row r="2" spans="1:39" x14ac:dyDescent="0.4">
      <c r="A2" t="s">
        <v>2</v>
      </c>
      <c r="B2" s="3">
        <v>559720</v>
      </c>
      <c r="C2" s="4">
        <v>5440</v>
      </c>
      <c r="D2" s="4">
        <v>73579</v>
      </c>
      <c r="E2" s="4">
        <v>6947</v>
      </c>
      <c r="F2" s="4">
        <v>423</v>
      </c>
      <c r="G2" s="4">
        <v>2002549.5</v>
      </c>
      <c r="H2" s="4">
        <v>14771</v>
      </c>
      <c r="I2" s="4">
        <v>6.81</v>
      </c>
      <c r="J2" s="4">
        <v>4943841</v>
      </c>
      <c r="K2" s="4">
        <v>167</v>
      </c>
      <c r="L2" s="5">
        <f>6829</f>
        <v>6829</v>
      </c>
      <c r="M2" s="6">
        <v>263148318</v>
      </c>
      <c r="N2" s="4">
        <v>23</v>
      </c>
      <c r="O2" s="4">
        <v>7</v>
      </c>
      <c r="P2" s="4">
        <v>2815</v>
      </c>
      <c r="Q2" s="4">
        <v>1079</v>
      </c>
      <c r="R2" s="4">
        <v>562</v>
      </c>
      <c r="S2" s="4">
        <v>108</v>
      </c>
      <c r="T2" s="4">
        <v>214156</v>
      </c>
      <c r="U2" s="4">
        <v>211426</v>
      </c>
      <c r="V2" s="4">
        <v>95929</v>
      </c>
      <c r="W2" s="4">
        <v>39.5</v>
      </c>
      <c r="X2" s="3">
        <f>B2/W2</f>
        <v>14170.126582278481</v>
      </c>
      <c r="Y2">
        <v>49</v>
      </c>
      <c r="Z2">
        <v>0.02</v>
      </c>
      <c r="AA2">
        <v>0.03</v>
      </c>
      <c r="AB2">
        <v>0.4</v>
      </c>
      <c r="AC2">
        <v>2E-3</v>
      </c>
      <c r="AD2">
        <v>16</v>
      </c>
      <c r="AE2">
        <v>10</v>
      </c>
      <c r="AF2" s="9">
        <v>2248</v>
      </c>
      <c r="AG2" s="9">
        <v>2653</v>
      </c>
      <c r="AH2" s="9">
        <v>3953</v>
      </c>
      <c r="AI2">
        <v>486</v>
      </c>
      <c r="AJ2">
        <v>1737</v>
      </c>
      <c r="AK2">
        <v>958</v>
      </c>
      <c r="AL2">
        <v>21</v>
      </c>
      <c r="AM2">
        <v>421</v>
      </c>
    </row>
    <row r="3" spans="1:39" x14ac:dyDescent="0.4">
      <c r="A3" t="s">
        <v>3</v>
      </c>
      <c r="B3" s="3">
        <v>465549</v>
      </c>
      <c r="C3" s="4">
        <v>4182</v>
      </c>
      <c r="D3" s="4">
        <v>59752</v>
      </c>
      <c r="E3" s="4">
        <v>3711</v>
      </c>
      <c r="F3" s="4">
        <v>301</v>
      </c>
      <c r="G3" s="4">
        <v>606939.4</v>
      </c>
      <c r="H3" s="4">
        <v>8165</v>
      </c>
      <c r="I3" s="4">
        <v>6.35</v>
      </c>
      <c r="J3" s="4">
        <v>3292857</v>
      </c>
      <c r="K3" s="4">
        <v>101</v>
      </c>
      <c r="L3" s="5">
        <v>3435</v>
      </c>
      <c r="M3" s="6">
        <v>87515237</v>
      </c>
      <c r="N3" s="4">
        <v>17</v>
      </c>
      <c r="O3" s="4">
        <v>7</v>
      </c>
      <c r="P3" s="4">
        <v>867</v>
      </c>
      <c r="Q3" s="4">
        <v>1008</v>
      </c>
      <c r="R3" s="4">
        <v>625</v>
      </c>
      <c r="S3" s="4">
        <v>48</v>
      </c>
      <c r="T3" s="4">
        <v>129380</v>
      </c>
      <c r="U3" s="4">
        <v>157602</v>
      </c>
      <c r="V3" s="4">
        <v>65756</v>
      </c>
      <c r="W3" s="4">
        <v>24.59</v>
      </c>
      <c r="X3" s="3">
        <f>B3/W3</f>
        <v>18932.452216348109</v>
      </c>
      <c r="Y3">
        <v>35</v>
      </c>
      <c r="Z3">
        <v>1.7999999999999999E-2</v>
      </c>
      <c r="AA3">
        <v>2.1999999999999999E-2</v>
      </c>
      <c r="AB3">
        <v>0.5</v>
      </c>
      <c r="AC3">
        <v>2E-3</v>
      </c>
      <c r="AD3">
        <v>16</v>
      </c>
      <c r="AE3">
        <v>11</v>
      </c>
      <c r="AF3" s="9">
        <v>945</v>
      </c>
      <c r="AG3" s="9">
        <v>910</v>
      </c>
      <c r="AH3" s="9">
        <v>2386</v>
      </c>
      <c r="AI3">
        <v>346</v>
      </c>
      <c r="AJ3">
        <v>705</v>
      </c>
      <c r="AK3">
        <v>427</v>
      </c>
      <c r="AL3">
        <v>14</v>
      </c>
      <c r="AM3">
        <v>289</v>
      </c>
    </row>
    <row r="4" spans="1:39" x14ac:dyDescent="0.4">
      <c r="A4" t="s">
        <v>4</v>
      </c>
      <c r="B4" s="3">
        <v>291372</v>
      </c>
      <c r="C4" s="4">
        <v>4972</v>
      </c>
      <c r="D4" s="4">
        <v>51134</v>
      </c>
      <c r="E4" s="4">
        <v>2832</v>
      </c>
      <c r="F4" s="4">
        <v>214</v>
      </c>
      <c r="G4" s="4">
        <v>139129</v>
      </c>
      <c r="H4" s="4">
        <v>4379</v>
      </c>
      <c r="I4" s="4">
        <v>5.58</v>
      </c>
      <c r="J4" s="4">
        <v>2547460</v>
      </c>
      <c r="K4" s="4">
        <v>67</v>
      </c>
      <c r="L4" s="5">
        <v>3191</v>
      </c>
      <c r="M4" s="6">
        <v>88255787</v>
      </c>
      <c r="N4" s="4">
        <v>15</v>
      </c>
      <c r="O4" s="4">
        <v>5</v>
      </c>
      <c r="P4" s="4">
        <v>466</v>
      </c>
      <c r="Q4" s="4">
        <v>1094</v>
      </c>
      <c r="R4" s="4">
        <v>626</v>
      </c>
      <c r="S4" s="4">
        <v>25</v>
      </c>
      <c r="T4" s="4">
        <v>60580</v>
      </c>
      <c r="U4" s="4">
        <v>74784</v>
      </c>
      <c r="V4" s="4">
        <v>37497</v>
      </c>
      <c r="W4" s="4">
        <v>23.6</v>
      </c>
      <c r="X4" s="3">
        <f>B4/W4</f>
        <v>12346.271186440677</v>
      </c>
      <c r="Y4">
        <v>43</v>
      </c>
      <c r="Z4">
        <v>4.0000000000000001E-3</v>
      </c>
      <c r="AA4">
        <v>2.5999999999999999E-2</v>
      </c>
      <c r="AB4">
        <v>0.3</v>
      </c>
      <c r="AC4">
        <v>2E-3</v>
      </c>
      <c r="AD4">
        <v>16</v>
      </c>
      <c r="AE4">
        <v>8</v>
      </c>
      <c r="AF4" s="9">
        <v>716</v>
      </c>
      <c r="AG4" s="9">
        <v>549</v>
      </c>
      <c r="AH4" s="9">
        <v>1384</v>
      </c>
      <c r="AI4">
        <v>225</v>
      </c>
      <c r="AJ4">
        <v>451</v>
      </c>
      <c r="AK4">
        <v>302</v>
      </c>
      <c r="AL4">
        <v>3</v>
      </c>
      <c r="AM4">
        <v>195</v>
      </c>
    </row>
    <row r="5" spans="1:39" x14ac:dyDescent="0.4">
      <c r="A5" t="s">
        <v>5</v>
      </c>
      <c r="B5" s="3">
        <v>567159</v>
      </c>
      <c r="C5" s="4">
        <v>5773</v>
      </c>
      <c r="D5" s="4">
        <v>100695</v>
      </c>
      <c r="E5" s="4">
        <v>4663</v>
      </c>
      <c r="F5" s="4">
        <v>360</v>
      </c>
      <c r="G5" s="4">
        <v>1152971</v>
      </c>
      <c r="H5" s="4">
        <v>10433</v>
      </c>
      <c r="I5" s="4">
        <v>6.62</v>
      </c>
      <c r="J5" s="4">
        <v>3160623</v>
      </c>
      <c r="K5" s="4">
        <v>127</v>
      </c>
      <c r="L5" s="5">
        <v>3397</v>
      </c>
      <c r="M5" s="6">
        <v>125896852</v>
      </c>
      <c r="N5" s="4">
        <v>13</v>
      </c>
      <c r="O5" s="4">
        <v>7</v>
      </c>
      <c r="P5" s="4">
        <v>921</v>
      </c>
      <c r="Q5" s="4">
        <v>1366</v>
      </c>
      <c r="R5" s="4">
        <v>636</v>
      </c>
      <c r="S5" s="4">
        <v>32</v>
      </c>
      <c r="T5" s="4">
        <v>168214</v>
      </c>
      <c r="U5" s="4">
        <v>175751</v>
      </c>
      <c r="V5" s="4">
        <v>75140</v>
      </c>
      <c r="W5" s="4">
        <v>41.45</v>
      </c>
      <c r="X5" s="3">
        <f>B5/W5</f>
        <v>13682.967430639324</v>
      </c>
      <c r="Y5">
        <v>53</v>
      </c>
      <c r="Z5">
        <v>1.4E-2</v>
      </c>
      <c r="AA5">
        <v>3.4000000000000002E-2</v>
      </c>
      <c r="AB5">
        <v>0.3</v>
      </c>
      <c r="AC5">
        <v>2E-3</v>
      </c>
      <c r="AD5">
        <v>15</v>
      </c>
      <c r="AE5">
        <v>8</v>
      </c>
      <c r="AF5" s="9">
        <v>1470</v>
      </c>
      <c r="AG5" s="9">
        <v>1421</v>
      </c>
      <c r="AH5" s="9">
        <v>2944</v>
      </c>
      <c r="AI5">
        <v>367</v>
      </c>
      <c r="AJ5">
        <v>909</v>
      </c>
      <c r="AK5">
        <v>622</v>
      </c>
      <c r="AL5">
        <v>9</v>
      </c>
      <c r="AM5">
        <v>339</v>
      </c>
    </row>
    <row r="6" spans="1:39" x14ac:dyDescent="0.4">
      <c r="A6" t="s">
        <v>6</v>
      </c>
      <c r="B6" s="3">
        <v>497827</v>
      </c>
      <c r="C6" s="4">
        <v>15869</v>
      </c>
      <c r="D6" s="4">
        <v>145433</v>
      </c>
      <c r="E6" s="4">
        <v>4879</v>
      </c>
      <c r="F6" s="4">
        <v>300</v>
      </c>
      <c r="G6" s="4">
        <v>252680</v>
      </c>
      <c r="H6" s="4">
        <v>5946</v>
      </c>
      <c r="I6" s="4">
        <v>6.07</v>
      </c>
      <c r="J6" s="4">
        <v>2771927</v>
      </c>
      <c r="K6" s="4">
        <v>193</v>
      </c>
      <c r="L6" s="5">
        <v>4210</v>
      </c>
      <c r="M6" s="6">
        <v>166188364</v>
      </c>
      <c r="N6" s="4">
        <v>19</v>
      </c>
      <c r="O6" s="4">
        <v>5</v>
      </c>
      <c r="P6" s="4">
        <v>714</v>
      </c>
      <c r="Q6" s="4">
        <v>1066</v>
      </c>
      <c r="R6" s="4">
        <v>659</v>
      </c>
      <c r="S6" s="4">
        <v>51</v>
      </c>
      <c r="T6" s="4">
        <v>99596</v>
      </c>
      <c r="U6" s="4">
        <v>112321</v>
      </c>
      <c r="V6" s="4">
        <v>62620</v>
      </c>
      <c r="W6" s="4">
        <v>29.57</v>
      </c>
      <c r="X6" s="3">
        <f>B6/W6</f>
        <v>16835.542779844436</v>
      </c>
      <c r="Y6">
        <v>41</v>
      </c>
      <c r="Z6">
        <v>2.3E-2</v>
      </c>
      <c r="AA6">
        <v>2.5999999999999999E-2</v>
      </c>
      <c r="AB6">
        <v>0.3</v>
      </c>
      <c r="AC6">
        <v>3.0000000000000001E-3</v>
      </c>
      <c r="AD6">
        <v>19</v>
      </c>
      <c r="AE6">
        <v>11</v>
      </c>
      <c r="AF6" s="9">
        <v>1113</v>
      </c>
      <c r="AG6" s="9">
        <v>881</v>
      </c>
      <c r="AH6" s="9">
        <v>1973</v>
      </c>
      <c r="AI6">
        <v>310</v>
      </c>
      <c r="AJ6">
        <v>697</v>
      </c>
      <c r="AK6">
        <v>492</v>
      </c>
      <c r="AL6">
        <v>4</v>
      </c>
      <c r="AM6">
        <v>260</v>
      </c>
    </row>
    <row r="7" spans="1:39" x14ac:dyDescent="0.4">
      <c r="A7" t="s">
        <v>7</v>
      </c>
      <c r="B7" s="3">
        <v>350925</v>
      </c>
      <c r="C7" s="4">
        <v>15820</v>
      </c>
      <c r="D7" s="4">
        <v>69391</v>
      </c>
      <c r="E7" s="4">
        <v>3619</v>
      </c>
      <c r="F7" s="4">
        <v>250</v>
      </c>
      <c r="G7" s="4">
        <v>290567</v>
      </c>
      <c r="H7" s="4">
        <v>5105</v>
      </c>
      <c r="I7" s="4">
        <v>6.8</v>
      </c>
      <c r="J7" s="4">
        <v>3192971</v>
      </c>
      <c r="K7" s="4">
        <v>12</v>
      </c>
      <c r="L7" s="5">
        <v>3421</v>
      </c>
      <c r="M7" s="6">
        <v>95731490</v>
      </c>
      <c r="N7" s="4">
        <v>13</v>
      </c>
      <c r="O7" s="4">
        <v>4</v>
      </c>
      <c r="P7" s="4">
        <v>564</v>
      </c>
      <c r="Q7" s="4">
        <v>916</v>
      </c>
      <c r="R7" s="4">
        <v>661</v>
      </c>
      <c r="S7" s="4">
        <v>15</v>
      </c>
      <c r="T7" s="4">
        <v>80880</v>
      </c>
      <c r="U7" s="4">
        <v>94734</v>
      </c>
      <c r="V7" s="4">
        <v>48661</v>
      </c>
      <c r="W7" s="4">
        <v>17.059999999999999</v>
      </c>
      <c r="X7" s="3">
        <f>B7/W7</f>
        <v>20570.046893317704</v>
      </c>
      <c r="Y7">
        <v>41</v>
      </c>
      <c r="Z7">
        <v>2.5000000000000001E-2</v>
      </c>
      <c r="AA7">
        <v>0.02</v>
      </c>
      <c r="AB7">
        <v>0.6</v>
      </c>
      <c r="AC7">
        <v>2E-3</v>
      </c>
      <c r="AD7">
        <v>20</v>
      </c>
      <c r="AE7">
        <v>10</v>
      </c>
      <c r="AF7" s="9">
        <v>927</v>
      </c>
      <c r="AG7" s="9">
        <v>694</v>
      </c>
      <c r="AH7" s="9">
        <v>1607</v>
      </c>
      <c r="AI7">
        <v>194</v>
      </c>
      <c r="AJ7">
        <v>745</v>
      </c>
      <c r="AK7">
        <v>417</v>
      </c>
      <c r="AL7">
        <v>11</v>
      </c>
      <c r="AM7">
        <v>170</v>
      </c>
    </row>
    <row r="8" spans="1:39" x14ac:dyDescent="0.4">
      <c r="A8" t="s">
        <v>8</v>
      </c>
      <c r="B8" s="3">
        <v>414271</v>
      </c>
      <c r="C8" s="4">
        <v>22884</v>
      </c>
      <c r="D8" s="4">
        <v>58977</v>
      </c>
      <c r="E8" s="4">
        <v>3857</v>
      </c>
      <c r="F8" s="4">
        <v>413</v>
      </c>
      <c r="G8" s="4">
        <v>681696</v>
      </c>
      <c r="H8" s="4">
        <v>8688</v>
      </c>
      <c r="I8" s="4">
        <v>6.63</v>
      </c>
      <c r="J8" s="4">
        <v>2994059</v>
      </c>
      <c r="K8" s="4">
        <v>32</v>
      </c>
      <c r="L8" s="5">
        <v>4265</v>
      </c>
      <c r="M8" s="6">
        <v>123387880</v>
      </c>
      <c r="N8" s="4">
        <v>18</v>
      </c>
      <c r="O8" s="4">
        <v>7</v>
      </c>
      <c r="P8" s="4">
        <v>601</v>
      </c>
      <c r="Q8" s="4">
        <v>1128</v>
      </c>
      <c r="R8" s="4">
        <v>685</v>
      </c>
      <c r="S8" s="4">
        <v>36</v>
      </c>
      <c r="T8" s="4">
        <v>115645</v>
      </c>
      <c r="U8" s="4">
        <v>115044</v>
      </c>
      <c r="V8" s="4">
        <v>50893</v>
      </c>
      <c r="W8" s="4">
        <v>20.12</v>
      </c>
      <c r="X8" s="3">
        <f>B8/W8</f>
        <v>20590.009940357853</v>
      </c>
      <c r="Y8">
        <v>40</v>
      </c>
      <c r="Z8">
        <v>1.4E-2</v>
      </c>
      <c r="AA8">
        <v>2.5000000000000001E-2</v>
      </c>
      <c r="AB8">
        <v>0.3</v>
      </c>
      <c r="AC8">
        <v>3.0000000000000001E-3</v>
      </c>
      <c r="AD8">
        <v>12</v>
      </c>
      <c r="AE8">
        <v>7</v>
      </c>
      <c r="AF8" s="9">
        <v>793</v>
      </c>
      <c r="AG8" s="9">
        <v>689</v>
      </c>
      <c r="AH8" s="9">
        <v>2240</v>
      </c>
      <c r="AI8">
        <v>298</v>
      </c>
      <c r="AJ8">
        <v>546</v>
      </c>
      <c r="AK8">
        <v>410</v>
      </c>
      <c r="AL8">
        <v>7</v>
      </c>
      <c r="AM8">
        <v>261</v>
      </c>
    </row>
    <row r="9" spans="1:39" x14ac:dyDescent="0.4">
      <c r="A9" t="s">
        <v>9</v>
      </c>
      <c r="B9" s="3">
        <v>240680</v>
      </c>
      <c r="C9" s="4">
        <v>13520</v>
      </c>
      <c r="D9" s="4">
        <v>50528</v>
      </c>
      <c r="E9" s="4">
        <v>2577</v>
      </c>
      <c r="F9" s="4">
        <v>213</v>
      </c>
      <c r="G9" s="4">
        <v>421352</v>
      </c>
      <c r="H9" s="4">
        <v>5169</v>
      </c>
      <c r="I9" s="4">
        <v>6.21</v>
      </c>
      <c r="J9" s="4">
        <v>2632285</v>
      </c>
      <c r="K9" s="4">
        <v>44</v>
      </c>
      <c r="L9" s="5">
        <v>2978</v>
      </c>
      <c r="M9" s="6">
        <v>66752284</v>
      </c>
      <c r="N9" s="4">
        <v>13</v>
      </c>
      <c r="O9" s="4">
        <v>3</v>
      </c>
      <c r="P9" s="4">
        <v>358</v>
      </c>
      <c r="Q9" s="4">
        <v>975</v>
      </c>
      <c r="R9" s="4">
        <v>695</v>
      </c>
      <c r="S9" s="4">
        <v>9</v>
      </c>
      <c r="T9" s="4">
        <v>71744</v>
      </c>
      <c r="U9" s="4">
        <v>86111</v>
      </c>
      <c r="V9" s="4">
        <v>25696</v>
      </c>
      <c r="W9" s="4">
        <v>13.02</v>
      </c>
      <c r="X9" s="3">
        <f>B9/W9</f>
        <v>18485.407066052227</v>
      </c>
      <c r="Y9">
        <v>33</v>
      </c>
      <c r="Z9">
        <v>1.7999999999999999E-2</v>
      </c>
      <c r="AA9">
        <v>0.02</v>
      </c>
      <c r="AB9">
        <v>0.4</v>
      </c>
      <c r="AC9">
        <v>3.0000000000000001E-3</v>
      </c>
      <c r="AD9">
        <v>17</v>
      </c>
      <c r="AE9">
        <v>6</v>
      </c>
      <c r="AF9" s="9">
        <v>652</v>
      </c>
      <c r="AG9" s="9">
        <v>570</v>
      </c>
      <c r="AH9" s="9">
        <v>1704</v>
      </c>
      <c r="AI9">
        <v>177</v>
      </c>
      <c r="AJ9">
        <v>480</v>
      </c>
      <c r="AK9">
        <v>340</v>
      </c>
      <c r="AL9">
        <v>1</v>
      </c>
      <c r="AM9">
        <v>167</v>
      </c>
    </row>
    <row r="10" spans="1:39" x14ac:dyDescent="0.4">
      <c r="A10" t="s">
        <v>10</v>
      </c>
      <c r="B10" s="3">
        <v>501727</v>
      </c>
      <c r="C10" s="4">
        <v>4663</v>
      </c>
      <c r="D10" s="4">
        <v>63022</v>
      </c>
      <c r="E10" s="4">
        <v>3896</v>
      </c>
      <c r="F10" s="4">
        <v>415</v>
      </c>
      <c r="G10" s="4">
        <v>673507</v>
      </c>
      <c r="H10" s="4">
        <v>9510</v>
      </c>
      <c r="I10" s="4">
        <v>6.25</v>
      </c>
      <c r="J10" s="4">
        <v>3195375</v>
      </c>
      <c r="K10" s="4">
        <v>21</v>
      </c>
      <c r="L10" s="5">
        <v>2613</v>
      </c>
      <c r="M10" s="6">
        <v>108740071</v>
      </c>
      <c r="N10" s="4">
        <v>17</v>
      </c>
      <c r="O10" s="4">
        <v>6</v>
      </c>
      <c r="P10" s="4">
        <v>752</v>
      </c>
      <c r="Q10" s="4">
        <v>1264</v>
      </c>
      <c r="R10" s="4">
        <v>697</v>
      </c>
      <c r="S10" s="4">
        <v>27</v>
      </c>
      <c r="T10" s="4">
        <v>129767</v>
      </c>
      <c r="U10" s="4">
        <v>136075</v>
      </c>
      <c r="V10" s="4">
        <v>84208</v>
      </c>
      <c r="W10" s="4">
        <v>35.44</v>
      </c>
      <c r="X10" s="3">
        <f>B10/W10</f>
        <v>14157.082392776525</v>
      </c>
      <c r="Y10">
        <v>37</v>
      </c>
      <c r="Z10">
        <v>1.9E-2</v>
      </c>
      <c r="AA10">
        <v>5.0000000000000001E-3</v>
      </c>
      <c r="AB10">
        <v>0.4</v>
      </c>
      <c r="AC10">
        <v>2E-3</v>
      </c>
      <c r="AD10">
        <v>27</v>
      </c>
      <c r="AE10">
        <v>11</v>
      </c>
      <c r="AF10" s="9">
        <v>774</v>
      </c>
      <c r="AG10" s="9">
        <v>841</v>
      </c>
      <c r="AH10" s="9">
        <v>2248</v>
      </c>
      <c r="AI10">
        <v>444</v>
      </c>
      <c r="AJ10">
        <v>589</v>
      </c>
      <c r="AK10">
        <v>378</v>
      </c>
      <c r="AL10">
        <v>13</v>
      </c>
      <c r="AM10">
        <v>394</v>
      </c>
    </row>
    <row r="11" spans="1:39" x14ac:dyDescent="0.4">
      <c r="A11" t="s">
        <v>11</v>
      </c>
      <c r="B11" s="3">
        <v>308864</v>
      </c>
      <c r="C11" s="4">
        <v>2518</v>
      </c>
      <c r="D11" s="4">
        <v>39744</v>
      </c>
      <c r="E11" s="4">
        <v>2141</v>
      </c>
      <c r="F11" s="4">
        <v>324</v>
      </c>
      <c r="G11" s="4">
        <v>266372</v>
      </c>
      <c r="H11" s="4">
        <v>5032</v>
      </c>
      <c r="I11" s="4">
        <v>6.36</v>
      </c>
      <c r="J11" s="4">
        <v>2785111</v>
      </c>
      <c r="K11" s="4">
        <v>19</v>
      </c>
      <c r="L11" s="5">
        <v>2196</v>
      </c>
      <c r="M11" s="6">
        <v>67739876</v>
      </c>
      <c r="N11" s="4">
        <v>10</v>
      </c>
      <c r="O11" s="4">
        <v>5</v>
      </c>
      <c r="P11" s="4">
        <v>375</v>
      </c>
      <c r="Q11" s="4">
        <v>1170</v>
      </c>
      <c r="R11" s="4">
        <v>697</v>
      </c>
      <c r="S11" s="4">
        <v>0</v>
      </c>
      <c r="T11" s="4">
        <v>76763</v>
      </c>
      <c r="U11" s="4">
        <v>90581</v>
      </c>
      <c r="V11" s="4">
        <v>40958</v>
      </c>
      <c r="W11" s="4">
        <v>20.65</v>
      </c>
      <c r="X11" s="3">
        <f>B11/W11</f>
        <v>14957.094430992736</v>
      </c>
      <c r="Y11">
        <v>56</v>
      </c>
      <c r="Z11">
        <v>0.01</v>
      </c>
      <c r="AA11">
        <v>3.6999999999999998E-2</v>
      </c>
      <c r="AB11">
        <v>0.3</v>
      </c>
      <c r="AC11">
        <v>2E-3</v>
      </c>
      <c r="AD11">
        <v>14</v>
      </c>
      <c r="AE11">
        <v>6</v>
      </c>
      <c r="AF11" s="9">
        <v>498</v>
      </c>
      <c r="AG11" s="9">
        <v>494</v>
      </c>
      <c r="AH11" s="9">
        <v>1179</v>
      </c>
      <c r="AI11">
        <v>201</v>
      </c>
      <c r="AJ11">
        <v>364</v>
      </c>
      <c r="AK11">
        <v>270</v>
      </c>
      <c r="AL11">
        <v>3</v>
      </c>
      <c r="AM11">
        <v>232</v>
      </c>
    </row>
    <row r="12" spans="1:39" x14ac:dyDescent="0.4">
      <c r="A12" t="s">
        <v>12</v>
      </c>
      <c r="B12" s="3">
        <v>360211</v>
      </c>
      <c r="C12" s="4">
        <v>18224</v>
      </c>
      <c r="D12" s="4">
        <v>68169</v>
      </c>
      <c r="E12" s="4">
        <v>3253</v>
      </c>
      <c r="F12" s="4">
        <v>322</v>
      </c>
      <c r="G12" s="4">
        <v>421368</v>
      </c>
      <c r="H12" s="4">
        <v>8517</v>
      </c>
      <c r="I12" s="4">
        <v>6.4</v>
      </c>
      <c r="J12" s="4">
        <v>3030256</v>
      </c>
      <c r="K12" s="4">
        <v>53</v>
      </c>
      <c r="L12" s="5">
        <v>3077</v>
      </c>
      <c r="M12" s="6">
        <v>97942712</v>
      </c>
      <c r="N12" s="4">
        <v>21</v>
      </c>
      <c r="O12" s="4">
        <v>6</v>
      </c>
      <c r="P12" s="4">
        <v>597</v>
      </c>
      <c r="Q12" s="4">
        <v>990</v>
      </c>
      <c r="R12" s="4">
        <v>723</v>
      </c>
      <c r="S12" s="4">
        <v>39</v>
      </c>
      <c r="T12" s="4">
        <v>84257</v>
      </c>
      <c r="U12" s="4">
        <v>98783</v>
      </c>
      <c r="V12" s="4">
        <v>50488</v>
      </c>
      <c r="W12" s="4">
        <v>14.22</v>
      </c>
      <c r="X12" s="3">
        <f>B12/W12</f>
        <v>25331.293952180025</v>
      </c>
      <c r="Y12">
        <v>52</v>
      </c>
      <c r="Z12">
        <v>1.4E-2</v>
      </c>
      <c r="AA12">
        <v>3.2000000000000001E-2</v>
      </c>
      <c r="AB12">
        <v>0.3</v>
      </c>
      <c r="AC12">
        <v>3.0000000000000001E-3</v>
      </c>
      <c r="AD12">
        <v>16</v>
      </c>
      <c r="AE12">
        <v>8</v>
      </c>
      <c r="AF12" s="9">
        <v>817</v>
      </c>
      <c r="AG12" s="9">
        <v>614</v>
      </c>
      <c r="AH12" s="9">
        <v>1908</v>
      </c>
      <c r="AI12">
        <v>168</v>
      </c>
      <c r="AJ12">
        <v>592</v>
      </c>
      <c r="AK12">
        <v>443</v>
      </c>
      <c r="AL12">
        <v>6</v>
      </c>
      <c r="AM12">
        <v>258</v>
      </c>
    </row>
    <row r="13" spans="1:39" x14ac:dyDescent="0.4">
      <c r="A13" t="s">
        <v>13</v>
      </c>
      <c r="B13" s="3">
        <v>389576</v>
      </c>
      <c r="C13" s="4">
        <v>10927</v>
      </c>
      <c r="D13" s="4">
        <v>71782</v>
      </c>
      <c r="E13" s="4">
        <v>2735</v>
      </c>
      <c r="F13" s="4">
        <v>251</v>
      </c>
      <c r="G13" s="4">
        <v>283028.09999999998</v>
      </c>
      <c r="H13" s="4">
        <v>6171</v>
      </c>
      <c r="I13" s="4">
        <v>6.49</v>
      </c>
      <c r="J13" s="4">
        <v>3454170</v>
      </c>
      <c r="K13" s="4">
        <v>44</v>
      </c>
      <c r="L13" s="5">
        <v>2656</v>
      </c>
      <c r="M13" s="6">
        <v>109377406</v>
      </c>
      <c r="N13" s="4">
        <v>18</v>
      </c>
      <c r="O13" s="4">
        <v>5</v>
      </c>
      <c r="P13" s="4">
        <v>595</v>
      </c>
      <c r="Q13" s="4">
        <v>1361</v>
      </c>
      <c r="R13" s="4">
        <v>856</v>
      </c>
      <c r="S13" s="4">
        <v>27</v>
      </c>
      <c r="T13" s="4">
        <v>94584</v>
      </c>
      <c r="U13" s="4">
        <v>110173</v>
      </c>
      <c r="V13" s="4">
        <v>54027</v>
      </c>
      <c r="W13" s="4">
        <v>16.36</v>
      </c>
      <c r="X13" s="3">
        <f>B13/W13</f>
        <v>23812.713936430318</v>
      </c>
      <c r="Y13">
        <v>37</v>
      </c>
      <c r="Z13">
        <v>1.6E-2</v>
      </c>
      <c r="AA13">
        <v>2.3E-2</v>
      </c>
      <c r="AB13">
        <v>0.3</v>
      </c>
      <c r="AC13">
        <v>2E-3</v>
      </c>
      <c r="AD13">
        <v>18</v>
      </c>
      <c r="AE13">
        <v>8</v>
      </c>
      <c r="AF13" s="9">
        <v>568</v>
      </c>
      <c r="AG13" s="9">
        <v>595</v>
      </c>
      <c r="AH13" s="9">
        <v>1484</v>
      </c>
      <c r="AI13">
        <v>232</v>
      </c>
      <c r="AJ13">
        <v>535</v>
      </c>
      <c r="AK13">
        <v>346</v>
      </c>
      <c r="AL13">
        <v>12</v>
      </c>
      <c r="AM13">
        <v>140</v>
      </c>
    </row>
    <row r="14" spans="1:39" x14ac:dyDescent="0.4">
      <c r="A14" t="s">
        <v>14</v>
      </c>
      <c r="B14" s="3">
        <v>374962</v>
      </c>
      <c r="C14" s="4">
        <v>11317</v>
      </c>
      <c r="D14" s="4">
        <v>70030</v>
      </c>
      <c r="E14" s="4">
        <v>4096</v>
      </c>
      <c r="F14" s="4">
        <v>421</v>
      </c>
      <c r="G14" s="4">
        <v>886405.3</v>
      </c>
      <c r="H14" s="4">
        <v>9008</v>
      </c>
      <c r="I14" s="4">
        <v>6.39</v>
      </c>
      <c r="J14" s="4">
        <v>3832436</v>
      </c>
      <c r="K14" s="4">
        <v>44</v>
      </c>
      <c r="L14" s="5">
        <v>3015</v>
      </c>
      <c r="M14" s="6">
        <v>148131112</v>
      </c>
      <c r="N14" s="4">
        <v>16</v>
      </c>
      <c r="O14" s="4">
        <v>7</v>
      </c>
      <c r="P14" s="4">
        <v>768</v>
      </c>
      <c r="Q14" s="4">
        <v>1544</v>
      </c>
      <c r="R14" s="4">
        <v>861</v>
      </c>
      <c r="S14" s="4">
        <v>33</v>
      </c>
      <c r="T14" s="4">
        <v>101935</v>
      </c>
      <c r="U14" s="4">
        <v>114878</v>
      </c>
      <c r="V14" s="4">
        <v>52245</v>
      </c>
      <c r="W14" s="4">
        <v>23.85</v>
      </c>
      <c r="X14" s="3">
        <f>B14/W14</f>
        <v>15721.677148846959</v>
      </c>
      <c r="Y14">
        <v>57</v>
      </c>
      <c r="Z14">
        <v>1.4999999999999999E-2</v>
      </c>
      <c r="AA14">
        <v>3.7999999999999999E-2</v>
      </c>
      <c r="AB14">
        <v>0.3</v>
      </c>
      <c r="AC14">
        <v>2E-3</v>
      </c>
      <c r="AD14">
        <v>15</v>
      </c>
      <c r="AE14">
        <v>7</v>
      </c>
      <c r="AF14" s="9">
        <v>1742</v>
      </c>
      <c r="AG14" s="9">
        <v>1188</v>
      </c>
      <c r="AH14" s="9">
        <v>2581</v>
      </c>
      <c r="AI14">
        <v>289</v>
      </c>
      <c r="AJ14">
        <v>1682</v>
      </c>
      <c r="AK14">
        <v>601</v>
      </c>
      <c r="AL14">
        <v>16</v>
      </c>
      <c r="AM14">
        <v>250</v>
      </c>
    </row>
    <row r="15" spans="1:39" x14ac:dyDescent="0.4">
      <c r="A15" t="s">
        <v>15</v>
      </c>
      <c r="B15" s="3">
        <v>320378</v>
      </c>
      <c r="C15" s="4">
        <v>14392</v>
      </c>
      <c r="D15" s="4">
        <v>54288</v>
      </c>
      <c r="E15" s="4">
        <v>2374</v>
      </c>
      <c r="F15" s="4">
        <v>241</v>
      </c>
      <c r="G15" s="4">
        <v>254797</v>
      </c>
      <c r="H15" s="4">
        <v>6015</v>
      </c>
      <c r="I15" s="4">
        <v>6.79</v>
      </c>
      <c r="J15" s="4">
        <v>3417706</v>
      </c>
      <c r="K15" s="4">
        <v>27</v>
      </c>
      <c r="L15" s="5">
        <v>3117</v>
      </c>
      <c r="M15" s="6">
        <v>95958124</v>
      </c>
      <c r="N15" s="4">
        <v>12</v>
      </c>
      <c r="O15" s="4">
        <v>5</v>
      </c>
      <c r="P15" s="4">
        <v>440</v>
      </c>
      <c r="Q15" s="4">
        <v>1861</v>
      </c>
      <c r="R15" s="4">
        <v>991</v>
      </c>
      <c r="S15" s="4">
        <v>16</v>
      </c>
      <c r="T15" s="4">
        <v>77540</v>
      </c>
      <c r="U15" s="4">
        <v>88736</v>
      </c>
      <c r="V15" s="4">
        <v>45807</v>
      </c>
      <c r="W15" s="4">
        <v>17.63</v>
      </c>
      <c r="X15" s="3">
        <f>B15/W15</f>
        <v>18172.319909245605</v>
      </c>
      <c r="Y15">
        <v>38</v>
      </c>
      <c r="Z15">
        <v>1.4999999999999999E-2</v>
      </c>
      <c r="AA15">
        <v>2.3E-2</v>
      </c>
      <c r="AB15">
        <v>0.6</v>
      </c>
      <c r="AC15">
        <v>2E-3</v>
      </c>
      <c r="AD15">
        <v>19</v>
      </c>
      <c r="AE15">
        <v>10</v>
      </c>
      <c r="AF15" s="9">
        <v>699</v>
      </c>
      <c r="AG15" s="9">
        <v>497</v>
      </c>
      <c r="AH15" s="9">
        <v>1539</v>
      </c>
      <c r="AI15">
        <v>278</v>
      </c>
      <c r="AJ15">
        <v>501</v>
      </c>
      <c r="AK15">
        <v>362</v>
      </c>
      <c r="AL15">
        <v>5</v>
      </c>
      <c r="AM15">
        <v>210</v>
      </c>
    </row>
    <row r="16" spans="1:39" x14ac:dyDescent="0.4">
      <c r="A16" t="s">
        <v>16</v>
      </c>
      <c r="B16" s="3">
        <v>412275</v>
      </c>
      <c r="C16" s="4">
        <v>4435</v>
      </c>
      <c r="D16" s="4">
        <v>46745</v>
      </c>
      <c r="E16" s="4">
        <v>4459</v>
      </c>
      <c r="F16" s="4">
        <v>323</v>
      </c>
      <c r="G16" s="4">
        <v>1447114</v>
      </c>
      <c r="H16" s="4">
        <v>12634</v>
      </c>
      <c r="I16" s="4">
        <v>6.42</v>
      </c>
      <c r="J16" s="4">
        <v>4912401</v>
      </c>
      <c r="K16" s="4">
        <v>38</v>
      </c>
      <c r="L16" s="5">
        <v>3343</v>
      </c>
      <c r="M16" s="6">
        <v>191318304</v>
      </c>
      <c r="N16" s="4">
        <v>21</v>
      </c>
      <c r="O16" s="4">
        <v>7</v>
      </c>
      <c r="P16" s="4">
        <v>1371</v>
      </c>
      <c r="Q16" s="4">
        <v>1515</v>
      </c>
      <c r="R16" s="4">
        <v>1036</v>
      </c>
      <c r="S16" s="4">
        <v>38</v>
      </c>
      <c r="T16" s="4">
        <v>152890</v>
      </c>
      <c r="U16" s="4">
        <v>153271</v>
      </c>
      <c r="V16" s="4">
        <v>71009</v>
      </c>
      <c r="W16" s="4">
        <v>46.97</v>
      </c>
      <c r="X16" s="3">
        <f>B16/W16</f>
        <v>8777.4111134766881</v>
      </c>
      <c r="Y16">
        <v>51</v>
      </c>
      <c r="Z16">
        <v>1.6E-2</v>
      </c>
      <c r="AA16">
        <v>3.1E-2</v>
      </c>
      <c r="AB16">
        <v>0.4</v>
      </c>
      <c r="AC16">
        <v>2E-3</v>
      </c>
      <c r="AD16">
        <v>12</v>
      </c>
      <c r="AE16">
        <v>8</v>
      </c>
      <c r="AF16" s="9">
        <v>935</v>
      </c>
      <c r="AG16" s="9">
        <v>1625</v>
      </c>
      <c r="AH16" s="9">
        <v>2522</v>
      </c>
      <c r="AI16">
        <v>403</v>
      </c>
      <c r="AJ16">
        <v>1071</v>
      </c>
      <c r="AK16">
        <v>553</v>
      </c>
      <c r="AL16">
        <v>12</v>
      </c>
      <c r="AM16">
        <v>328</v>
      </c>
    </row>
    <row r="17" spans="1:39" x14ac:dyDescent="0.4">
      <c r="A17" t="s">
        <v>17</v>
      </c>
      <c r="B17" s="3">
        <v>284258</v>
      </c>
      <c r="C17" s="4">
        <v>7294</v>
      </c>
      <c r="D17" s="4">
        <v>46548</v>
      </c>
      <c r="E17" s="4">
        <v>2194</v>
      </c>
      <c r="F17" s="4">
        <v>413</v>
      </c>
      <c r="G17" s="4">
        <v>311512.2</v>
      </c>
      <c r="H17" s="4">
        <v>6283</v>
      </c>
      <c r="I17" s="4">
        <v>6.87</v>
      </c>
      <c r="J17" s="4">
        <v>3734499</v>
      </c>
      <c r="K17" s="4">
        <v>21</v>
      </c>
      <c r="L17" s="5">
        <v>3871</v>
      </c>
      <c r="M17" s="6">
        <v>96087425</v>
      </c>
      <c r="N17" s="4">
        <v>16</v>
      </c>
      <c r="O17" s="4">
        <v>5</v>
      </c>
      <c r="P17" s="4">
        <v>466</v>
      </c>
      <c r="Q17" s="4">
        <v>1679</v>
      </c>
      <c r="R17" s="4">
        <v>1098</v>
      </c>
      <c r="S17" s="4">
        <v>15</v>
      </c>
      <c r="T17" s="4">
        <v>82202</v>
      </c>
      <c r="U17" s="4">
        <v>77156</v>
      </c>
      <c r="V17" s="4">
        <v>36701</v>
      </c>
      <c r="W17" s="4">
        <v>16.82</v>
      </c>
      <c r="X17" s="3">
        <f>B17/W17</f>
        <v>16900</v>
      </c>
      <c r="Y17">
        <v>46</v>
      </c>
      <c r="Z17">
        <v>0.02</v>
      </c>
      <c r="AA17">
        <v>2.8000000000000001E-2</v>
      </c>
      <c r="AB17">
        <v>0.3</v>
      </c>
      <c r="AC17">
        <v>2E-3</v>
      </c>
      <c r="AD17">
        <v>15</v>
      </c>
      <c r="AE17">
        <v>9</v>
      </c>
      <c r="AF17" s="9">
        <v>785</v>
      </c>
      <c r="AG17" s="9">
        <v>666</v>
      </c>
      <c r="AH17" s="9">
        <v>1817</v>
      </c>
      <c r="AI17">
        <v>175</v>
      </c>
      <c r="AJ17">
        <v>737</v>
      </c>
      <c r="AK17">
        <v>333</v>
      </c>
      <c r="AL17">
        <v>14</v>
      </c>
      <c r="AM17">
        <v>187</v>
      </c>
    </row>
    <row r="18" spans="1:39" x14ac:dyDescent="0.4">
      <c r="A18" t="s">
        <v>18</v>
      </c>
      <c r="B18" s="3">
        <v>436901</v>
      </c>
      <c r="C18" s="4">
        <v>12020</v>
      </c>
      <c r="D18" s="4">
        <v>67222</v>
      </c>
      <c r="E18" s="4">
        <v>2749</v>
      </c>
      <c r="F18" s="4">
        <v>362</v>
      </c>
      <c r="G18" s="4">
        <v>412861</v>
      </c>
      <c r="H18" s="4">
        <v>5796</v>
      </c>
      <c r="I18" s="4">
        <v>6.75</v>
      </c>
      <c r="J18" s="4">
        <v>3281773</v>
      </c>
      <c r="K18" s="4">
        <v>8</v>
      </c>
      <c r="L18" s="5">
        <v>4216</v>
      </c>
      <c r="M18" s="6">
        <v>112791260</v>
      </c>
      <c r="N18" s="4">
        <v>26</v>
      </c>
      <c r="O18" s="4">
        <v>5</v>
      </c>
      <c r="P18" s="4">
        <v>541</v>
      </c>
      <c r="Q18" s="4">
        <v>1696</v>
      </c>
      <c r="R18" s="4">
        <v>1133</v>
      </c>
      <c r="S18" s="4">
        <v>30</v>
      </c>
      <c r="T18" s="4">
        <v>105387</v>
      </c>
      <c r="U18" s="4">
        <v>113507</v>
      </c>
      <c r="V18" s="4">
        <v>69674</v>
      </c>
      <c r="W18" s="4">
        <v>24.58</v>
      </c>
      <c r="X18" s="3">
        <f>B18/W18</f>
        <v>17774.654190398698</v>
      </c>
      <c r="Y18">
        <v>36</v>
      </c>
      <c r="Z18">
        <v>1.0999999999999999E-2</v>
      </c>
      <c r="AA18">
        <v>2.3E-2</v>
      </c>
      <c r="AB18">
        <v>0.5</v>
      </c>
      <c r="AC18">
        <v>2E-3</v>
      </c>
      <c r="AD18">
        <v>12</v>
      </c>
      <c r="AE18">
        <v>5</v>
      </c>
      <c r="AF18" s="9">
        <v>757</v>
      </c>
      <c r="AG18" s="9">
        <v>645</v>
      </c>
      <c r="AH18" s="9">
        <v>1880</v>
      </c>
      <c r="AI18">
        <v>306</v>
      </c>
      <c r="AJ18">
        <v>659</v>
      </c>
      <c r="AK18">
        <v>384</v>
      </c>
      <c r="AL18">
        <v>9</v>
      </c>
      <c r="AM18">
        <v>282</v>
      </c>
    </row>
    <row r="19" spans="1:39" x14ac:dyDescent="0.4">
      <c r="A19" t="s">
        <v>19</v>
      </c>
      <c r="B19" s="3">
        <v>659661</v>
      </c>
      <c r="C19" s="4">
        <v>5925</v>
      </c>
      <c r="D19" s="4">
        <v>82473</v>
      </c>
      <c r="E19" s="4">
        <v>5167</v>
      </c>
      <c r="F19" s="4">
        <v>340</v>
      </c>
      <c r="G19" s="4">
        <v>1001473.5</v>
      </c>
      <c r="H19" s="4">
        <v>15197</v>
      </c>
      <c r="I19" s="4">
        <v>6.96</v>
      </c>
      <c r="J19" s="4">
        <v>3995905</v>
      </c>
      <c r="K19" s="4">
        <v>83</v>
      </c>
      <c r="L19" s="5">
        <v>3471</v>
      </c>
      <c r="M19" s="6">
        <v>166423657</v>
      </c>
      <c r="N19" s="4">
        <v>22</v>
      </c>
      <c r="O19" s="4">
        <v>7</v>
      </c>
      <c r="P19" s="4">
        <v>1250</v>
      </c>
      <c r="Q19" s="4">
        <v>1626</v>
      </c>
      <c r="R19" s="4">
        <v>1144</v>
      </c>
      <c r="S19" s="4">
        <v>42</v>
      </c>
      <c r="T19" s="4">
        <v>207167</v>
      </c>
      <c r="U19" s="4">
        <v>210440</v>
      </c>
      <c r="V19" s="4">
        <v>97182</v>
      </c>
      <c r="W19" s="4">
        <v>33.880000000000003</v>
      </c>
      <c r="X19" s="3">
        <f>B19/W19</f>
        <v>19470.513577331756</v>
      </c>
      <c r="Y19">
        <v>38</v>
      </c>
      <c r="Z19">
        <v>2.3E-2</v>
      </c>
      <c r="AA19">
        <v>1.9E-2</v>
      </c>
      <c r="AB19">
        <v>0.4</v>
      </c>
      <c r="AC19">
        <v>3.0000000000000001E-3</v>
      </c>
      <c r="AD19">
        <v>18</v>
      </c>
      <c r="AE19">
        <v>8</v>
      </c>
      <c r="AF19" s="9">
        <v>1500</v>
      </c>
      <c r="AG19" s="9">
        <v>1501</v>
      </c>
      <c r="AH19" s="9">
        <v>3395</v>
      </c>
      <c r="AI19">
        <v>346</v>
      </c>
      <c r="AJ19">
        <v>1202</v>
      </c>
      <c r="AK19">
        <v>627</v>
      </c>
      <c r="AL19">
        <v>28</v>
      </c>
      <c r="AM19">
        <v>437</v>
      </c>
    </row>
    <row r="20" spans="1:39" x14ac:dyDescent="0.4">
      <c r="A20" t="s">
        <v>20</v>
      </c>
      <c r="B20" s="3">
        <v>437774</v>
      </c>
      <c r="C20" s="4">
        <v>3246</v>
      </c>
      <c r="D20" s="4">
        <v>45502</v>
      </c>
      <c r="E20" s="4">
        <v>3169</v>
      </c>
      <c r="F20" s="4">
        <v>254</v>
      </c>
      <c r="G20" s="4">
        <v>481862</v>
      </c>
      <c r="H20" s="4">
        <v>8848</v>
      </c>
      <c r="I20" s="4">
        <v>6.14</v>
      </c>
      <c r="J20" s="4">
        <v>3796034</v>
      </c>
      <c r="K20" s="4">
        <v>4</v>
      </c>
      <c r="L20" s="5">
        <v>4064</v>
      </c>
      <c r="M20" s="6">
        <v>83179122</v>
      </c>
      <c r="N20" s="4">
        <v>16</v>
      </c>
      <c r="O20" s="4">
        <v>6</v>
      </c>
      <c r="P20" s="4">
        <v>663</v>
      </c>
      <c r="Q20" s="4">
        <v>2028</v>
      </c>
      <c r="R20" s="4">
        <v>1168</v>
      </c>
      <c r="S20" s="4">
        <v>13</v>
      </c>
      <c r="T20" s="4">
        <v>127890</v>
      </c>
      <c r="U20" s="4">
        <v>127433</v>
      </c>
      <c r="V20" s="4">
        <v>75770</v>
      </c>
      <c r="W20" s="4">
        <v>17.41</v>
      </c>
      <c r="X20" s="3">
        <f>B20/W20</f>
        <v>25144.974152785755</v>
      </c>
      <c r="Y20">
        <v>59</v>
      </c>
      <c r="Z20">
        <v>1.7000000000000001E-2</v>
      </c>
      <c r="AA20">
        <v>0.04</v>
      </c>
      <c r="AB20">
        <v>0.3</v>
      </c>
      <c r="AC20">
        <v>3.0000000000000001E-3</v>
      </c>
      <c r="AD20">
        <v>14</v>
      </c>
      <c r="AE20">
        <v>9</v>
      </c>
      <c r="AF20" s="9">
        <v>724</v>
      </c>
      <c r="AG20" s="9">
        <v>875</v>
      </c>
      <c r="AH20" s="9">
        <v>1799</v>
      </c>
      <c r="AI20">
        <v>305</v>
      </c>
      <c r="AJ20">
        <v>524</v>
      </c>
      <c r="AK20">
        <v>346</v>
      </c>
      <c r="AL20">
        <v>5</v>
      </c>
      <c r="AM20">
        <v>257</v>
      </c>
    </row>
    <row r="21" spans="1:39" x14ac:dyDescent="0.4">
      <c r="A21" t="s">
        <v>21</v>
      </c>
      <c r="B21" s="3">
        <v>397942</v>
      </c>
      <c r="C21" s="4">
        <v>22794</v>
      </c>
      <c r="D21" s="4">
        <v>73962</v>
      </c>
      <c r="E21" s="4">
        <v>4819</v>
      </c>
      <c r="F21" s="4">
        <v>413</v>
      </c>
      <c r="G21" s="4">
        <v>803487</v>
      </c>
      <c r="H21" s="4">
        <v>9986</v>
      </c>
      <c r="I21" s="4">
        <v>5.28</v>
      </c>
      <c r="J21" s="4">
        <v>3604887</v>
      </c>
      <c r="K21" s="4">
        <v>123</v>
      </c>
      <c r="L21" s="5">
        <v>3987</v>
      </c>
      <c r="M21" s="6">
        <v>157499505</v>
      </c>
      <c r="N21" s="4">
        <v>16</v>
      </c>
      <c r="O21" s="4">
        <v>6</v>
      </c>
      <c r="P21" s="4">
        <v>797</v>
      </c>
      <c r="Q21" s="4">
        <v>1930</v>
      </c>
      <c r="R21" s="4">
        <v>1197</v>
      </c>
      <c r="S21" s="4">
        <v>21</v>
      </c>
      <c r="T21" s="4">
        <v>118318</v>
      </c>
      <c r="U21" s="4">
        <v>100556</v>
      </c>
      <c r="V21" s="4">
        <v>44859</v>
      </c>
      <c r="W21" s="4">
        <v>24.55</v>
      </c>
      <c r="X21" s="3">
        <f>B21/W21</f>
        <v>16209.450101832994</v>
      </c>
      <c r="Y21">
        <v>56</v>
      </c>
      <c r="Z21">
        <v>1.6E-2</v>
      </c>
      <c r="AA21">
        <v>3.6999999999999998E-2</v>
      </c>
      <c r="AB21">
        <v>0.3</v>
      </c>
      <c r="AC21">
        <v>2E-3</v>
      </c>
      <c r="AD21">
        <v>12</v>
      </c>
      <c r="AE21">
        <v>7</v>
      </c>
      <c r="AF21" s="9">
        <v>1191</v>
      </c>
      <c r="AG21" s="9">
        <v>1016</v>
      </c>
      <c r="AH21" s="9">
        <v>2187</v>
      </c>
      <c r="AI21">
        <v>236</v>
      </c>
      <c r="AJ21">
        <v>971</v>
      </c>
      <c r="AK21">
        <v>582</v>
      </c>
      <c r="AL21">
        <v>11</v>
      </c>
      <c r="AM21">
        <v>291</v>
      </c>
    </row>
    <row r="22" spans="1:39" x14ac:dyDescent="0.4">
      <c r="A22" t="s">
        <v>22</v>
      </c>
      <c r="B22" s="3">
        <v>223433</v>
      </c>
      <c r="C22" s="4">
        <v>13584</v>
      </c>
      <c r="D22" s="4">
        <v>41437</v>
      </c>
      <c r="E22" s="4">
        <v>2967</v>
      </c>
      <c r="F22" s="4">
        <v>346</v>
      </c>
      <c r="G22" s="4">
        <v>354568</v>
      </c>
      <c r="H22" s="4">
        <v>7560</v>
      </c>
      <c r="I22" s="4">
        <v>6.44</v>
      </c>
      <c r="J22" s="4">
        <v>3971498</v>
      </c>
      <c r="K22" s="4">
        <v>21</v>
      </c>
      <c r="L22" s="5">
        <v>2897</v>
      </c>
      <c r="M22" s="6">
        <v>87031985</v>
      </c>
      <c r="N22" s="4">
        <v>13</v>
      </c>
      <c r="O22" s="4">
        <v>6</v>
      </c>
      <c r="P22" s="4">
        <v>327</v>
      </c>
      <c r="Q22" s="4">
        <v>1546</v>
      </c>
      <c r="R22" s="4">
        <v>1198</v>
      </c>
      <c r="S22" s="4">
        <v>23</v>
      </c>
      <c r="T22" s="4">
        <v>64907</v>
      </c>
      <c r="U22" s="4">
        <v>66074</v>
      </c>
      <c r="V22" s="4">
        <v>26540</v>
      </c>
      <c r="W22" s="4">
        <v>21.87</v>
      </c>
      <c r="X22" s="3">
        <f>B22/W22</f>
        <v>10216.41518061271</v>
      </c>
      <c r="Y22">
        <v>46</v>
      </c>
      <c r="Z22">
        <v>2.1000000000000001E-2</v>
      </c>
      <c r="AA22">
        <v>2.9000000000000001E-2</v>
      </c>
      <c r="AB22">
        <v>0.5</v>
      </c>
      <c r="AC22">
        <v>2E-3</v>
      </c>
      <c r="AD22">
        <v>16</v>
      </c>
      <c r="AE22">
        <v>10</v>
      </c>
      <c r="AF22" s="9">
        <v>754</v>
      </c>
      <c r="AG22" s="9">
        <v>475</v>
      </c>
      <c r="AH22" s="9">
        <v>1287</v>
      </c>
      <c r="AI22">
        <v>157</v>
      </c>
      <c r="AJ22">
        <v>699</v>
      </c>
      <c r="AK22">
        <v>329</v>
      </c>
      <c r="AL22">
        <v>10</v>
      </c>
      <c r="AM22">
        <v>232</v>
      </c>
    </row>
    <row r="23" spans="1:39" x14ac:dyDescent="0.4">
      <c r="A23" t="s">
        <v>23</v>
      </c>
      <c r="B23" s="3">
        <v>470185</v>
      </c>
      <c r="C23" s="4">
        <v>4178</v>
      </c>
      <c r="D23" s="4">
        <v>65769</v>
      </c>
      <c r="E23" s="4">
        <v>3487</v>
      </c>
      <c r="F23" s="4">
        <v>257</v>
      </c>
      <c r="G23" s="4">
        <v>410163</v>
      </c>
      <c r="H23" s="4">
        <v>6581</v>
      </c>
      <c r="I23" s="4">
        <v>6.53</v>
      </c>
      <c r="J23" s="4">
        <v>2912739</v>
      </c>
      <c r="K23" s="4">
        <v>76</v>
      </c>
      <c r="L23" s="7">
        <v>4369</v>
      </c>
      <c r="M23" s="6">
        <v>110416503</v>
      </c>
      <c r="N23" s="4">
        <v>22</v>
      </c>
      <c r="O23" s="4">
        <v>5</v>
      </c>
      <c r="P23" s="4">
        <v>702</v>
      </c>
      <c r="Q23" s="4">
        <v>2688</v>
      </c>
      <c r="R23" s="4">
        <v>1377</v>
      </c>
      <c r="S23" s="4">
        <v>27</v>
      </c>
      <c r="T23" s="4">
        <v>114497</v>
      </c>
      <c r="U23" s="4">
        <v>149964</v>
      </c>
      <c r="V23" s="4">
        <v>64340</v>
      </c>
      <c r="W23" s="4">
        <v>29.71</v>
      </c>
      <c r="X23" s="3">
        <f>B23/W23</f>
        <v>15825.816223493774</v>
      </c>
      <c r="Y23">
        <v>26</v>
      </c>
      <c r="Z23">
        <v>8.9999999999999993E-3</v>
      </c>
      <c r="AA23">
        <v>1.6E-2</v>
      </c>
      <c r="AB23">
        <v>0.5</v>
      </c>
      <c r="AC23">
        <v>2E-3</v>
      </c>
      <c r="AD23">
        <v>12</v>
      </c>
      <c r="AE23">
        <v>9</v>
      </c>
      <c r="AF23" s="9">
        <v>898</v>
      </c>
      <c r="AG23" s="9">
        <v>813</v>
      </c>
      <c r="AH23" s="9">
        <v>2188</v>
      </c>
      <c r="AI23">
        <v>202</v>
      </c>
      <c r="AJ23">
        <v>601</v>
      </c>
      <c r="AK23">
        <v>410</v>
      </c>
      <c r="AL23">
        <v>13</v>
      </c>
      <c r="AM23">
        <v>323</v>
      </c>
    </row>
    <row r="24" spans="1:39" x14ac:dyDescent="0.4">
      <c r="A24" t="s">
        <v>24</v>
      </c>
      <c r="B24" s="3">
        <v>150550</v>
      </c>
      <c r="C24" s="4">
        <v>11052</v>
      </c>
      <c r="D24" s="4">
        <v>28424</v>
      </c>
      <c r="E24" s="4">
        <v>3138</v>
      </c>
      <c r="F24" s="4">
        <v>680</v>
      </c>
      <c r="G24" s="4">
        <v>228451</v>
      </c>
      <c r="H24" s="4">
        <v>7433</v>
      </c>
      <c r="I24" s="4">
        <v>5.39</v>
      </c>
      <c r="J24" s="4">
        <v>3725859</v>
      </c>
      <c r="K24" s="4">
        <v>178</v>
      </c>
      <c r="L24" s="7">
        <v>1872</v>
      </c>
      <c r="M24" s="6">
        <v>141759969</v>
      </c>
      <c r="N24" s="4">
        <v>25</v>
      </c>
      <c r="O24" s="4">
        <v>7</v>
      </c>
      <c r="P24" s="4">
        <v>480</v>
      </c>
      <c r="Q24" s="4">
        <v>2151</v>
      </c>
      <c r="R24" s="4">
        <v>1466</v>
      </c>
      <c r="S24" s="4">
        <v>25</v>
      </c>
      <c r="T24" s="4">
        <v>39459</v>
      </c>
      <c r="U24" s="4">
        <v>34809</v>
      </c>
      <c r="V24" s="4">
        <v>19662</v>
      </c>
      <c r="W24" s="4">
        <v>23.91</v>
      </c>
      <c r="X24" s="3">
        <f>B24/W24</f>
        <v>6296.5286491007946</v>
      </c>
      <c r="Y24">
        <v>48</v>
      </c>
      <c r="Z24">
        <v>1.4E-2</v>
      </c>
      <c r="AA24">
        <v>0.03</v>
      </c>
      <c r="AB24">
        <v>0.3</v>
      </c>
      <c r="AC24">
        <v>3.0000000000000001E-3</v>
      </c>
      <c r="AD24">
        <v>12</v>
      </c>
      <c r="AE24">
        <v>7</v>
      </c>
      <c r="AF24" s="9">
        <v>821</v>
      </c>
      <c r="AG24" s="9">
        <v>451</v>
      </c>
      <c r="AH24" s="9">
        <v>1334</v>
      </c>
      <c r="AI24">
        <v>158</v>
      </c>
      <c r="AJ24">
        <v>1068</v>
      </c>
      <c r="AK24">
        <v>373</v>
      </c>
      <c r="AL24">
        <v>15</v>
      </c>
      <c r="AM24">
        <v>189</v>
      </c>
    </row>
    <row r="25" spans="1:39" x14ac:dyDescent="0.4">
      <c r="A25" t="s">
        <v>25</v>
      </c>
      <c r="B25" s="3">
        <v>131812</v>
      </c>
      <c r="C25" s="4">
        <v>10210</v>
      </c>
      <c r="D25" s="4">
        <v>25247</v>
      </c>
      <c r="E25" s="4">
        <v>3071</v>
      </c>
      <c r="F25" s="4">
        <v>387</v>
      </c>
      <c r="G25" s="4">
        <v>222277</v>
      </c>
      <c r="H25" s="4">
        <v>8709</v>
      </c>
      <c r="I25" s="4">
        <v>6.48</v>
      </c>
      <c r="J25" s="4">
        <v>3513603</v>
      </c>
      <c r="K25" s="4">
        <v>200</v>
      </c>
      <c r="L25" s="7">
        <v>2157</v>
      </c>
      <c r="M25" s="6">
        <v>149856039</v>
      </c>
      <c r="N25" s="4">
        <v>20</v>
      </c>
      <c r="O25" s="4">
        <v>7</v>
      </c>
      <c r="P25" s="4">
        <v>579</v>
      </c>
      <c r="Q25" s="4">
        <v>2185</v>
      </c>
      <c r="R25" s="4">
        <v>1516</v>
      </c>
      <c r="S25" s="4">
        <v>125</v>
      </c>
      <c r="T25" s="4">
        <v>42869</v>
      </c>
      <c r="U25" s="4">
        <v>33997</v>
      </c>
      <c r="V25" s="4">
        <v>13459</v>
      </c>
      <c r="W25" s="4">
        <v>9.9600000000000009</v>
      </c>
      <c r="X25" s="3">
        <f>B25/W25</f>
        <v>13234.136546184738</v>
      </c>
      <c r="Y25">
        <v>46</v>
      </c>
      <c r="Z25">
        <v>1.2999999999999999E-2</v>
      </c>
      <c r="AA25">
        <v>2.9000000000000001E-2</v>
      </c>
      <c r="AB25">
        <v>0.3</v>
      </c>
      <c r="AC25">
        <v>2E-3</v>
      </c>
      <c r="AD25">
        <v>10</v>
      </c>
      <c r="AE25">
        <v>4</v>
      </c>
      <c r="AF25" s="9">
        <v>723</v>
      </c>
      <c r="AG25" s="9">
        <v>470</v>
      </c>
      <c r="AH25" s="9">
        <v>2516</v>
      </c>
      <c r="AI25">
        <v>126</v>
      </c>
      <c r="AJ25">
        <v>917</v>
      </c>
      <c r="AK25">
        <v>464</v>
      </c>
      <c r="AL25">
        <v>23</v>
      </c>
      <c r="AM25">
        <v>161</v>
      </c>
    </row>
    <row r="26" spans="1:39" x14ac:dyDescent="0.4">
      <c r="A26" t="s">
        <v>26</v>
      </c>
      <c r="B26" s="3">
        <v>387433</v>
      </c>
      <c r="C26" s="4">
        <v>5467</v>
      </c>
      <c r="D26" s="4">
        <v>64334</v>
      </c>
      <c r="E26" s="4">
        <v>3599</v>
      </c>
      <c r="F26" s="4">
        <v>294</v>
      </c>
      <c r="G26" s="4">
        <v>539974</v>
      </c>
      <c r="H26" s="4">
        <v>7668</v>
      </c>
      <c r="I26" s="4">
        <v>6.22</v>
      </c>
      <c r="J26" s="4">
        <v>2598785</v>
      </c>
      <c r="K26" s="4">
        <v>17</v>
      </c>
      <c r="L26" s="7">
        <v>4163</v>
      </c>
      <c r="M26" s="6">
        <v>79293944</v>
      </c>
      <c r="N26" s="4">
        <v>18</v>
      </c>
      <c r="O26" s="4">
        <v>5</v>
      </c>
      <c r="P26" s="4">
        <v>547</v>
      </c>
      <c r="Q26" s="4">
        <v>2026</v>
      </c>
      <c r="R26" s="4">
        <v>1611</v>
      </c>
      <c r="S26" s="4">
        <v>27</v>
      </c>
      <c r="T26" s="4">
        <v>91504</v>
      </c>
      <c r="U26" s="4">
        <v>101500</v>
      </c>
      <c r="V26" s="4">
        <v>45578</v>
      </c>
      <c r="W26" s="4">
        <v>18.5</v>
      </c>
      <c r="X26" s="3">
        <f>B26/W26</f>
        <v>20942.324324324323</v>
      </c>
      <c r="Y26">
        <v>29</v>
      </c>
      <c r="Z26">
        <v>1.6E-2</v>
      </c>
      <c r="AA26">
        <v>1.7999999999999999E-2</v>
      </c>
      <c r="AB26">
        <v>0.3</v>
      </c>
      <c r="AC26">
        <v>2E-3</v>
      </c>
      <c r="AD26">
        <v>18</v>
      </c>
      <c r="AE26">
        <v>10</v>
      </c>
      <c r="AF26" s="9">
        <v>776</v>
      </c>
      <c r="AG26" s="9">
        <v>692</v>
      </c>
      <c r="AH26" s="9">
        <v>1751</v>
      </c>
      <c r="AI26">
        <v>242</v>
      </c>
      <c r="AJ26">
        <v>492</v>
      </c>
      <c r="AK26">
        <v>347</v>
      </c>
      <c r="AL26">
        <v>8</v>
      </c>
      <c r="AM26">
        <v>357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BF0B-164A-48BC-BAB3-B71112BE9296}">
  <dimension ref="A1:D22"/>
  <sheetViews>
    <sheetView tabSelected="1" zoomScale="72" workbookViewId="0">
      <selection activeCell="C17" sqref="C17"/>
    </sheetView>
  </sheetViews>
  <sheetFormatPr defaultRowHeight="17.399999999999999" x14ac:dyDescent="0.4"/>
  <cols>
    <col min="1" max="1" width="22.8984375" customWidth="1"/>
    <col min="2" max="2" width="25.3984375" customWidth="1"/>
    <col min="3" max="3" width="50.69921875" customWidth="1"/>
  </cols>
  <sheetData>
    <row r="1" spans="1:4" x14ac:dyDescent="0.4">
      <c r="A1" t="s">
        <v>136</v>
      </c>
      <c r="B1" t="s">
        <v>137</v>
      </c>
      <c r="C1" t="s">
        <v>138</v>
      </c>
      <c r="D1" t="s">
        <v>139</v>
      </c>
    </row>
    <row r="2" spans="1:4" x14ac:dyDescent="0.4">
      <c r="A2" t="s">
        <v>83</v>
      </c>
      <c r="B2" t="s">
        <v>94</v>
      </c>
      <c r="C2" t="s">
        <v>111</v>
      </c>
      <c r="D2" t="s">
        <v>113</v>
      </c>
    </row>
    <row r="3" spans="1:4" x14ac:dyDescent="0.4">
      <c r="A3" t="s">
        <v>84</v>
      </c>
      <c r="B3" t="s">
        <v>94</v>
      </c>
      <c r="C3" t="s">
        <v>116</v>
      </c>
      <c r="D3" t="s">
        <v>115</v>
      </c>
    </row>
    <row r="4" spans="1:4" x14ac:dyDescent="0.4">
      <c r="A4" t="s">
        <v>85</v>
      </c>
      <c r="B4" t="s">
        <v>94</v>
      </c>
      <c r="C4" t="s">
        <v>112</v>
      </c>
      <c r="D4" t="s">
        <v>114</v>
      </c>
    </row>
    <row r="5" spans="1:4" x14ac:dyDescent="0.4">
      <c r="A5" t="s">
        <v>86</v>
      </c>
      <c r="B5" t="s">
        <v>94</v>
      </c>
      <c r="C5" t="s">
        <v>118</v>
      </c>
      <c r="D5" t="s">
        <v>117</v>
      </c>
    </row>
    <row r="6" spans="1:4" x14ac:dyDescent="0.4">
      <c r="A6" t="s">
        <v>98</v>
      </c>
      <c r="B6" t="s">
        <v>94</v>
      </c>
      <c r="C6" t="s">
        <v>105</v>
      </c>
      <c r="D6" t="s">
        <v>123</v>
      </c>
    </row>
    <row r="7" spans="1:4" x14ac:dyDescent="0.4">
      <c r="A7" t="s">
        <v>99</v>
      </c>
      <c r="B7" t="s">
        <v>94</v>
      </c>
      <c r="C7" t="s">
        <v>106</v>
      </c>
      <c r="D7" t="s">
        <v>124</v>
      </c>
    </row>
    <row r="8" spans="1:4" x14ac:dyDescent="0.4">
      <c r="A8" t="s">
        <v>100</v>
      </c>
      <c r="B8" t="s">
        <v>94</v>
      </c>
      <c r="C8" t="s">
        <v>128</v>
      </c>
      <c r="D8" t="s">
        <v>127</v>
      </c>
    </row>
    <row r="9" spans="1:4" x14ac:dyDescent="0.4">
      <c r="A9" t="s">
        <v>101</v>
      </c>
      <c r="B9" t="s">
        <v>130</v>
      </c>
      <c r="C9" s="11" t="s">
        <v>131</v>
      </c>
      <c r="D9" s="10" t="s">
        <v>129</v>
      </c>
    </row>
    <row r="10" spans="1:4" x14ac:dyDescent="0.4">
      <c r="A10" t="s">
        <v>102</v>
      </c>
      <c r="B10" t="s">
        <v>130</v>
      </c>
      <c r="C10" s="11" t="s">
        <v>131</v>
      </c>
      <c r="D10" s="10" t="s">
        <v>129</v>
      </c>
    </row>
    <row r="11" spans="1:4" x14ac:dyDescent="0.4">
      <c r="A11" t="s">
        <v>103</v>
      </c>
      <c r="B11" t="s">
        <v>130</v>
      </c>
      <c r="C11" s="11" t="s">
        <v>131</v>
      </c>
      <c r="D11" s="10" t="s">
        <v>129</v>
      </c>
    </row>
    <row r="12" spans="1:4" x14ac:dyDescent="0.4">
      <c r="A12" t="s">
        <v>104</v>
      </c>
      <c r="B12" t="s">
        <v>130</v>
      </c>
      <c r="C12" s="11" t="s">
        <v>131</v>
      </c>
      <c r="D12" s="10" t="s">
        <v>129</v>
      </c>
    </row>
    <row r="13" spans="1:4" x14ac:dyDescent="0.4">
      <c r="A13" t="s">
        <v>87</v>
      </c>
      <c r="B13" t="s">
        <v>94</v>
      </c>
      <c r="C13" s="13" t="s">
        <v>140</v>
      </c>
      <c r="D13" s="10" t="s">
        <v>133</v>
      </c>
    </row>
    <row r="14" spans="1:4" x14ac:dyDescent="0.4">
      <c r="A14" t="s">
        <v>88</v>
      </c>
      <c r="B14" t="s">
        <v>94</v>
      </c>
      <c r="C14" t="s">
        <v>97</v>
      </c>
      <c r="D14" t="s">
        <v>132</v>
      </c>
    </row>
    <row r="15" spans="1:4" x14ac:dyDescent="0.4">
      <c r="A15" t="s">
        <v>80</v>
      </c>
      <c r="B15" t="s">
        <v>109</v>
      </c>
      <c r="C15" t="s">
        <v>110</v>
      </c>
      <c r="D15" s="10" t="s">
        <v>108</v>
      </c>
    </row>
    <row r="16" spans="1:4" x14ac:dyDescent="0.4">
      <c r="A16" t="s">
        <v>89</v>
      </c>
      <c r="B16" t="s">
        <v>130</v>
      </c>
      <c r="C16" s="12" t="s">
        <v>135</v>
      </c>
      <c r="D16" s="10" t="s">
        <v>134</v>
      </c>
    </row>
    <row r="17" spans="1:4" x14ac:dyDescent="0.4">
      <c r="A17" t="s">
        <v>82</v>
      </c>
      <c r="B17" t="s">
        <v>94</v>
      </c>
      <c r="C17" t="s">
        <v>107</v>
      </c>
      <c r="D17" t="s">
        <v>125</v>
      </c>
    </row>
    <row r="18" spans="1:4" x14ac:dyDescent="0.4">
      <c r="A18" t="s">
        <v>43</v>
      </c>
      <c r="B18" t="s">
        <v>94</v>
      </c>
      <c r="C18" t="s">
        <v>119</v>
      </c>
      <c r="D18" t="s">
        <v>120</v>
      </c>
    </row>
    <row r="19" spans="1:4" x14ac:dyDescent="0.4">
      <c r="A19" t="s">
        <v>90</v>
      </c>
      <c r="B19" t="s">
        <v>94</v>
      </c>
      <c r="C19" t="s">
        <v>95</v>
      </c>
      <c r="D19" t="s">
        <v>126</v>
      </c>
    </row>
    <row r="20" spans="1:4" x14ac:dyDescent="0.4">
      <c r="A20" t="s">
        <v>93</v>
      </c>
      <c r="B20" t="s">
        <v>94</v>
      </c>
      <c r="C20" t="s">
        <v>95</v>
      </c>
      <c r="D20" t="s">
        <v>126</v>
      </c>
    </row>
    <row r="21" spans="1:4" x14ac:dyDescent="0.4">
      <c r="A21" t="s">
        <v>91</v>
      </c>
      <c r="B21" t="s">
        <v>94</v>
      </c>
      <c r="C21" t="s">
        <v>95</v>
      </c>
      <c r="D21" t="s">
        <v>126</v>
      </c>
    </row>
    <row r="22" spans="1:4" x14ac:dyDescent="0.4">
      <c r="A22" t="s">
        <v>92</v>
      </c>
      <c r="B22" t="s">
        <v>96</v>
      </c>
      <c r="C22" t="s">
        <v>122</v>
      </c>
      <c r="D22" s="10" t="s">
        <v>121</v>
      </c>
    </row>
  </sheetData>
  <phoneticPr fontId="2" type="noConversion"/>
  <hyperlinks>
    <hyperlink ref="D15" r:id="rId1" display="https://golmok.seoul.go.kr/stateArea.do" xr:uid="{0DE04986-0730-4608-AB3D-F3D41CB0A140}"/>
    <hyperlink ref="D22" r:id="rId2" display="https://openapt.seoul.go.kr/commonPortal/programLink.do?jspNm=/portal/aMenu/keyStatis/sstMgr.open&amp;comcod=gu" xr:uid="{C44E2F05-EA19-4B8B-A9E7-EDCCF88A08D0}"/>
    <hyperlink ref="D9" r:id="rId3" display="https://www.data.go.kr/data/15046560/fileData.do" xr:uid="{DFBC0CBF-78DD-4792-AA38-54AD82EB6F35}"/>
    <hyperlink ref="D10" r:id="rId4" display="https://www.data.go.kr/data/15046560/fileData.do" xr:uid="{3FAC85ED-28C5-43E8-948D-6230C6BB0D7D}"/>
    <hyperlink ref="D11" r:id="rId5" display="https://www.data.go.kr/data/15046560/fileData.do" xr:uid="{293A72BC-3031-4608-92C0-82576780EA44}"/>
    <hyperlink ref="D12" r:id="rId6" display="https://www.data.go.kr/data/15046560/fileData.do" xr:uid="{DE317DAD-36FE-4CA4-B7AB-339A4921346D}"/>
    <hyperlink ref="D13" r:id="rId7" display="https://data.seoul.go.kr/dataList/10590/S/2/datasetView.do" xr:uid="{A9AACDCC-26B7-4627-B94B-375D97064095}"/>
    <hyperlink ref="D16" r:id="rId8" display="https://www.data.go.kr/data/15081868/fileData.do" xr:uid="{9D9084D4-3408-4316-9B44-CA02D291A690}"/>
  </hyperlinks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8851-E216-44A9-A07D-8A860CA1ECB0}">
  <dimension ref="A1:X28"/>
  <sheetViews>
    <sheetView zoomScale="68" workbookViewId="0">
      <selection activeCell="C33" sqref="C33"/>
    </sheetView>
  </sheetViews>
  <sheetFormatPr defaultRowHeight="17.399999999999999" x14ac:dyDescent="0.4"/>
  <cols>
    <col min="2" max="2" width="10.69921875" customWidth="1"/>
    <col min="3" max="3" width="11.796875" customWidth="1"/>
    <col min="4" max="4" width="14.8984375" customWidth="1"/>
    <col min="5" max="5" width="14.296875" customWidth="1"/>
    <col min="6" max="6" width="8.69921875" customWidth="1"/>
    <col min="7" max="7" width="8.8984375" bestFit="1" customWidth="1"/>
    <col min="8" max="8" width="14.59765625" customWidth="1"/>
    <col min="9" max="9" width="12.69921875" customWidth="1"/>
    <col min="10" max="10" width="8.8984375" bestFit="1" customWidth="1"/>
    <col min="11" max="11" width="10" bestFit="1" customWidth="1"/>
    <col min="12" max="12" width="15.3984375" customWidth="1"/>
    <col min="13" max="13" width="14.19921875" customWidth="1"/>
    <col min="14" max="17" width="8.8984375" bestFit="1" customWidth="1"/>
    <col min="18" max="18" width="7.3984375" customWidth="1"/>
    <col min="19" max="22" width="8.8984375" bestFit="1" customWidth="1"/>
  </cols>
  <sheetData>
    <row r="1" spans="1:24" x14ac:dyDescent="0.4">
      <c r="A1" t="s">
        <v>0</v>
      </c>
    </row>
    <row r="2" spans="1:24" x14ac:dyDescent="0.4">
      <c r="A2" t="s">
        <v>0</v>
      </c>
      <c r="B2" t="s">
        <v>27</v>
      </c>
      <c r="C2" t="s">
        <v>49</v>
      </c>
      <c r="D2" t="s">
        <v>50</v>
      </c>
      <c r="E2" t="s">
        <v>51</v>
      </c>
      <c r="F2" t="s">
        <v>29</v>
      </c>
      <c r="G2" t="s">
        <v>30</v>
      </c>
      <c r="H2" t="s">
        <v>54</v>
      </c>
      <c r="I2" t="s">
        <v>53</v>
      </c>
      <c r="J2" t="s">
        <v>34</v>
      </c>
      <c r="K2" t="s">
        <v>35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42</v>
      </c>
      <c r="S2" t="s">
        <v>62</v>
      </c>
      <c r="T2" t="s">
        <v>61</v>
      </c>
      <c r="U2" t="s">
        <v>63</v>
      </c>
      <c r="V2" t="s">
        <v>64</v>
      </c>
      <c r="W2" t="s">
        <v>65</v>
      </c>
      <c r="X2" t="s">
        <v>66</v>
      </c>
    </row>
    <row r="3" spans="1:24" x14ac:dyDescent="0.4">
      <c r="A3" t="s">
        <v>1</v>
      </c>
      <c r="B3">
        <v>9635445</v>
      </c>
      <c r="C3" t="e">
        <f>total2!#REF!/total2!#REF!</f>
        <v>#REF!</v>
      </c>
      <c r="D3" t="e">
        <f>total2!#REF!/total2!#REF!</f>
        <v>#REF!</v>
      </c>
      <c r="E3" t="e">
        <f>total2!#REF!/total2!#REF!</f>
        <v>#REF!</v>
      </c>
      <c r="F3">
        <f>SUM(F4:F28)</f>
        <v>90399</v>
      </c>
      <c r="G3" t="e">
        <f>total2!#REF!/total2!#REF!</f>
        <v>#REF!</v>
      </c>
      <c r="H3" t="e">
        <f>total2!#REF!/1000000/total2!#REF!</f>
        <v>#REF!</v>
      </c>
      <c r="I3" t="e">
        <f>total2!#REF!/total2!#REF!</f>
        <v>#REF!</v>
      </c>
      <c r="J3">
        <f>SUM(J4:J28)</f>
        <v>159.22999999999999</v>
      </c>
      <c r="K3">
        <f>SUM(K4:K28)</f>
        <v>85299060</v>
      </c>
      <c r="L3" t="e">
        <f>total2!#REF!/total2!#REF!</f>
        <v>#REF!</v>
      </c>
      <c r="M3" t="e">
        <f>total2!#REF!/total2!#REF!</f>
        <v>#REF!</v>
      </c>
      <c r="N3" t="e">
        <f>total2!#REF!/total2!#REF!</f>
        <v>#REF!</v>
      </c>
      <c r="O3" t="e">
        <f>total2!#REF!/total2!#REF!</f>
        <v>#REF!</v>
      </c>
      <c r="P3" t="e">
        <f>total2!#REF!/total2!#REF!</f>
        <v>#REF!</v>
      </c>
      <c r="Q3" t="e">
        <f>total2!#REF!/total2!#REF!</f>
        <v>#REF!</v>
      </c>
      <c r="R3">
        <v>1.3</v>
      </c>
      <c r="S3" t="e">
        <f>total2!#REF!/total2!#REF!</f>
        <v>#REF!</v>
      </c>
      <c r="T3" t="e">
        <f>total2!#REF!/total2!#REF!</f>
        <v>#REF!</v>
      </c>
      <c r="U3" t="e">
        <f>total2!#REF!/total2!#REF!</f>
        <v>#REF!</v>
      </c>
      <c r="V3" t="e">
        <f>total2!#REF!/total2!#REF!</f>
        <v>#REF!</v>
      </c>
      <c r="W3" t="e">
        <f>total2!#REF!/total2!#REF!</f>
        <v>#REF!</v>
      </c>
      <c r="X3" t="e">
        <f>total2!#REF!/total2!#REF!</f>
        <v>#REF!</v>
      </c>
    </row>
    <row r="4" spans="1:24" x14ac:dyDescent="0.4">
      <c r="A4" t="s">
        <v>2</v>
      </c>
      <c r="B4">
        <v>559720</v>
      </c>
      <c r="C4">
        <f>total2!C2/total2!B2</f>
        <v>9.7191452869291785E-3</v>
      </c>
      <c r="D4" t="e">
        <f>total2!#REF!/total2!B2</f>
        <v>#REF!</v>
      </c>
      <c r="E4">
        <f>total2!D2/total2!B2</f>
        <v>0.13145679982848568</v>
      </c>
      <c r="F4">
        <v>6947</v>
      </c>
      <c r="G4">
        <f>total2!F2/total2!W2</f>
        <v>10.708860759493671</v>
      </c>
      <c r="H4">
        <f>total2!G2/1000000/total2!W2</f>
        <v>5.0697455696202536E-2</v>
      </c>
      <c r="I4">
        <f>total2!H2/total2!W2</f>
        <v>373.94936708860757</v>
      </c>
      <c r="J4">
        <v>6.81</v>
      </c>
      <c r="K4">
        <v>4943841</v>
      </c>
      <c r="L4">
        <f>total2!K2/total2!W2</f>
        <v>4.2278481012658231</v>
      </c>
      <c r="M4">
        <f>total2!L2/total2!W2</f>
        <v>172.8860759493671</v>
      </c>
      <c r="N4">
        <f>total2!M2/total2!B2</f>
        <v>470.14278210533837</v>
      </c>
      <c r="O4">
        <f>total2!N2/total2!$W2</f>
        <v>0.58227848101265822</v>
      </c>
      <c r="P4">
        <f>total2!O2/total2!$W2</f>
        <v>0.17721518987341772</v>
      </c>
      <c r="Q4">
        <f>total2!P2/total2!$W2</f>
        <v>71.265822784810126</v>
      </c>
      <c r="R4">
        <v>1.1000000000000001</v>
      </c>
      <c r="S4">
        <f>total2!Q2/total2!$W2</f>
        <v>27.316455696202532</v>
      </c>
      <c r="T4">
        <f>total2!R2/total2!$W2</f>
        <v>14.227848101265822</v>
      </c>
      <c r="U4">
        <f>total2!S2/total2!$W2</f>
        <v>2.7341772151898733</v>
      </c>
      <c r="V4">
        <f>total2!T2/total2!$B2</f>
        <v>0.38261273493889802</v>
      </c>
      <c r="W4">
        <f>total2!U2/total2!$B2</f>
        <v>0.37773529621953833</v>
      </c>
      <c r="X4">
        <f>total2!V2/total2!$B2</f>
        <v>0.17138747945401273</v>
      </c>
    </row>
    <row r="5" spans="1:24" x14ac:dyDescent="0.4">
      <c r="A5" t="s">
        <v>3</v>
      </c>
      <c r="B5">
        <v>465549</v>
      </c>
      <c r="C5">
        <f>total2!C3/total2!B3</f>
        <v>8.9829427192411535E-3</v>
      </c>
      <c r="D5" t="e">
        <f>total2!#REF!/total2!B3</f>
        <v>#REF!</v>
      </c>
      <c r="E5">
        <f>total2!D3/total2!B3</f>
        <v>0.12834739200384923</v>
      </c>
      <c r="F5">
        <v>3711</v>
      </c>
      <c r="G5">
        <f>total2!F3/total2!W3</f>
        <v>12.240748271655145</v>
      </c>
      <c r="H5">
        <f>total2!G3/1000000/total2!W3</f>
        <v>2.4682366815778772E-2</v>
      </c>
      <c r="I5">
        <f>total2!H3/total2!W3</f>
        <v>332.04554697031313</v>
      </c>
      <c r="J5">
        <v>6.35</v>
      </c>
      <c r="K5">
        <v>3292857</v>
      </c>
      <c r="L5">
        <f>total2!K3/total2!W3</f>
        <v>4.1073607157381051</v>
      </c>
      <c r="M5">
        <f>total2!L3/total2!W3</f>
        <v>139.69093127287516</v>
      </c>
      <c r="N5">
        <f>total2!M3/total2!B3</f>
        <v>187.98286968718654</v>
      </c>
      <c r="O5">
        <f>total2!N3/total2!$W3</f>
        <v>0.69133794225294831</v>
      </c>
      <c r="P5">
        <f>total2!O3/total2!$W3</f>
        <v>0.28466856445709637</v>
      </c>
      <c r="Q5">
        <f>total2!P3/total2!$W3</f>
        <v>35.258235054900368</v>
      </c>
      <c r="R5">
        <v>1.4</v>
      </c>
      <c r="S5">
        <f>total2!Q3/total2!$W3</f>
        <v>40.99227328182188</v>
      </c>
      <c r="T5">
        <f>total2!R3/total2!$W3</f>
        <v>25.416836112240748</v>
      </c>
      <c r="U5">
        <f>total2!S3/total2!$W3</f>
        <v>1.9520130134200895</v>
      </c>
      <c r="V5">
        <f>total2!T3/total2!$B3</f>
        <v>0.27790844787551899</v>
      </c>
      <c r="W5">
        <f>total2!U3/total2!$B3</f>
        <v>0.3385293492199532</v>
      </c>
      <c r="X5">
        <f>total2!V3/total2!$B3</f>
        <v>0.14124399365050724</v>
      </c>
    </row>
    <row r="6" spans="1:24" x14ac:dyDescent="0.4">
      <c r="A6" t="s">
        <v>4</v>
      </c>
      <c r="B6">
        <v>291372</v>
      </c>
      <c r="C6">
        <f>total2!C4/total2!B4</f>
        <v>1.7064096756036956E-2</v>
      </c>
      <c r="D6" t="e">
        <f>total2!#REF!/total2!B4</f>
        <v>#REF!</v>
      </c>
      <c r="E6">
        <f>total2!D4/total2!B4</f>
        <v>0.1754938703787598</v>
      </c>
      <c r="F6">
        <v>2832</v>
      </c>
      <c r="G6">
        <f>total2!F4/total2!W4</f>
        <v>9.0677966101694913</v>
      </c>
      <c r="H6">
        <f>total2!G4/1000000/total2!W4</f>
        <v>5.8952966101694917E-3</v>
      </c>
      <c r="I6">
        <f>total2!H4/total2!W4</f>
        <v>185.5508474576271</v>
      </c>
      <c r="J6">
        <v>5.58</v>
      </c>
      <c r="K6">
        <v>2547460</v>
      </c>
      <c r="L6">
        <f>total2!K4/total2!W4</f>
        <v>2.8389830508474576</v>
      </c>
      <c r="M6">
        <f>total2!L4/total2!W4</f>
        <v>135.21186440677965</v>
      </c>
      <c r="N6">
        <f>total2!M4/total2!B4</f>
        <v>302.89728251170322</v>
      </c>
      <c r="O6">
        <f>total2!N4/total2!$W4</f>
        <v>0.63559322033898302</v>
      </c>
      <c r="P6">
        <f>total2!O4/total2!$W4</f>
        <v>0.21186440677966101</v>
      </c>
      <c r="Q6">
        <f>total2!P4/total2!$W4</f>
        <v>19.745762711864405</v>
      </c>
      <c r="R6">
        <v>1.7</v>
      </c>
      <c r="S6">
        <f>total2!Q4/total2!$W4</f>
        <v>46.355932203389827</v>
      </c>
      <c r="T6">
        <f>total2!R4/total2!$W4</f>
        <v>26.525423728813557</v>
      </c>
      <c r="U6">
        <f>total2!S4/total2!$W4</f>
        <v>1.0593220338983049</v>
      </c>
      <c r="V6">
        <f>total2!T4/total2!$B4</f>
        <v>0.20791290858421538</v>
      </c>
      <c r="W6">
        <f>total2!U4/total2!$B4</f>
        <v>0.25666158724928956</v>
      </c>
      <c r="X6">
        <f>total2!V4/total2!$B4</f>
        <v>0.12869115769531733</v>
      </c>
    </row>
    <row r="7" spans="1:24" x14ac:dyDescent="0.4">
      <c r="A7" t="s">
        <v>5</v>
      </c>
      <c r="B7">
        <v>567159</v>
      </c>
      <c r="C7">
        <f>total2!C5/total2!B5</f>
        <v>1.017880347486331E-2</v>
      </c>
      <c r="D7" t="e">
        <f>total2!#REF!/total2!B5</f>
        <v>#REF!</v>
      </c>
      <c r="E7">
        <f>total2!D5/total2!B5</f>
        <v>0.17754280545667089</v>
      </c>
      <c r="F7">
        <v>4663</v>
      </c>
      <c r="G7">
        <f>total2!F5/total2!W5</f>
        <v>8.6851628468033777</v>
      </c>
      <c r="H7">
        <f>total2!G5/1000000/total2!W5</f>
        <v>2.7815946924004822E-2</v>
      </c>
      <c r="I7">
        <f>total2!H5/total2!W5</f>
        <v>251.70084439083232</v>
      </c>
      <c r="J7">
        <v>6.62</v>
      </c>
      <c r="K7">
        <v>3160623</v>
      </c>
      <c r="L7">
        <f>total2!K5/total2!W5</f>
        <v>3.0639324487334134</v>
      </c>
      <c r="M7">
        <f>total2!L5/total2!W5</f>
        <v>81.954161640530756</v>
      </c>
      <c r="N7">
        <f>total2!M5/total2!B5</f>
        <v>221.97805553645449</v>
      </c>
      <c r="O7">
        <f>total2!N5/total2!$W5</f>
        <v>0.31363088057901084</v>
      </c>
      <c r="P7">
        <f>total2!O5/total2!$W5</f>
        <v>0.16887816646562123</v>
      </c>
      <c r="Q7">
        <f>total2!P5/total2!$W5</f>
        <v>22.219541616405305</v>
      </c>
      <c r="R7">
        <v>1.5</v>
      </c>
      <c r="S7">
        <f>total2!Q5/total2!$W5</f>
        <v>32.955367913148372</v>
      </c>
      <c r="T7">
        <f>total2!R5/total2!$W5</f>
        <v>15.3437876960193</v>
      </c>
      <c r="U7">
        <f>total2!S5/total2!$W5</f>
        <v>0.77201447527141132</v>
      </c>
      <c r="V7">
        <f>total2!T5/total2!$B5</f>
        <v>0.29659055044528959</v>
      </c>
      <c r="W7">
        <f>total2!U5/total2!$B5</f>
        <v>0.30987959284786099</v>
      </c>
      <c r="X7">
        <f>total2!V5/total2!$B5</f>
        <v>0.13248489400679528</v>
      </c>
    </row>
    <row r="8" spans="1:24" x14ac:dyDescent="0.4">
      <c r="A8" t="s">
        <v>6</v>
      </c>
      <c r="B8">
        <v>497827</v>
      </c>
      <c r="C8">
        <f>total2!C6/total2!B6</f>
        <v>3.1876535422948132E-2</v>
      </c>
      <c r="D8" t="e">
        <f>total2!#REF!/total2!B6</f>
        <v>#REF!</v>
      </c>
      <c r="E8">
        <f>total2!D6/total2!B6</f>
        <v>0.29213562141065069</v>
      </c>
      <c r="F8">
        <v>4879</v>
      </c>
      <c r="G8">
        <f>total2!F6/total2!W6</f>
        <v>10.145417653026715</v>
      </c>
      <c r="H8">
        <f>total2!G6/1000000/total2!W6</f>
        <v>8.5451471085559692E-3</v>
      </c>
      <c r="I8">
        <f>total2!H6/total2!W6</f>
        <v>201.08217788298953</v>
      </c>
      <c r="J8">
        <v>6.07</v>
      </c>
      <c r="K8">
        <v>2771927</v>
      </c>
      <c r="L8">
        <f>total2!K6/total2!W6</f>
        <v>6.5268853567805207</v>
      </c>
      <c r="M8">
        <f>total2!L6/total2!W6</f>
        <v>142.37402773080825</v>
      </c>
      <c r="N8">
        <f>total2!M6/total2!B6</f>
        <v>333.82754249970372</v>
      </c>
      <c r="O8">
        <f>total2!N6/total2!$W6</f>
        <v>0.64254311802502539</v>
      </c>
      <c r="P8">
        <f>total2!O6/total2!$W6</f>
        <v>0.16909029421711194</v>
      </c>
      <c r="Q8">
        <f>total2!P6/total2!$W6</f>
        <v>24.146094014203584</v>
      </c>
      <c r="R8">
        <v>1.4</v>
      </c>
      <c r="S8">
        <f>total2!Q6/total2!$W6</f>
        <v>36.050050727088262</v>
      </c>
      <c r="T8">
        <f>total2!R6/total2!$W6</f>
        <v>22.286100777815353</v>
      </c>
      <c r="U8">
        <f>total2!S6/total2!$W6</f>
        <v>1.7247210010145417</v>
      </c>
      <c r="V8">
        <f>total2!T6/total2!$B6</f>
        <v>0.20006146713617382</v>
      </c>
      <c r="W8">
        <f>total2!U6/total2!$B6</f>
        <v>0.22562255562675387</v>
      </c>
      <c r="X8">
        <f>total2!V6/total2!$B6</f>
        <v>0.12578666886287806</v>
      </c>
    </row>
    <row r="9" spans="1:24" x14ac:dyDescent="0.4">
      <c r="A9" t="s">
        <v>7</v>
      </c>
      <c r="B9">
        <v>350925</v>
      </c>
      <c r="C9">
        <f>total2!C7/total2!B7</f>
        <v>4.5080857733133861E-2</v>
      </c>
      <c r="D9" t="e">
        <f>total2!#REF!/total2!B7</f>
        <v>#REF!</v>
      </c>
      <c r="E9">
        <f>total2!D7/total2!B7</f>
        <v>0.19773740827812211</v>
      </c>
      <c r="F9">
        <v>3619</v>
      </c>
      <c r="G9">
        <f>total2!F7/total2!W7</f>
        <v>14.654161781946074</v>
      </c>
      <c r="H9">
        <f>total2!G7/1000000/total2!W7</f>
        <v>1.7032063305978902E-2</v>
      </c>
      <c r="I9">
        <f>total2!H7/total2!W7</f>
        <v>299.23798358733882</v>
      </c>
      <c r="J9">
        <v>6.8</v>
      </c>
      <c r="K9">
        <v>3192971</v>
      </c>
      <c r="L9">
        <f>total2!K7/total2!W7</f>
        <v>0.70339976553341155</v>
      </c>
      <c r="M9">
        <f>total2!L7/total2!W7</f>
        <v>200.52754982415007</v>
      </c>
      <c r="N9">
        <f>total2!M7/total2!B7</f>
        <v>272.79757783002066</v>
      </c>
      <c r="O9">
        <f>total2!N7/total2!$W7</f>
        <v>0.7620164126611958</v>
      </c>
      <c r="P9">
        <f>total2!O7/total2!$W7</f>
        <v>0.23446658851113719</v>
      </c>
      <c r="Q9">
        <f>total2!P7/total2!$W7</f>
        <v>33.059788980070344</v>
      </c>
      <c r="R9">
        <v>1.3</v>
      </c>
      <c r="S9">
        <f>total2!Q7/total2!$W7</f>
        <v>53.692848769050414</v>
      </c>
      <c r="T9">
        <f>total2!R7/total2!$W7</f>
        <v>38.745603751465417</v>
      </c>
      <c r="U9">
        <f>total2!S7/total2!$W7</f>
        <v>0.87924970691676441</v>
      </c>
      <c r="V9">
        <f>total2!T7/total2!$B7</f>
        <v>0.23047659756358196</v>
      </c>
      <c r="W9">
        <f>total2!U7/total2!$B7</f>
        <v>0.2699551186150887</v>
      </c>
      <c r="X9">
        <f>total2!V7/total2!$B7</f>
        <v>0.13866495689962244</v>
      </c>
    </row>
    <row r="10" spans="1:24" x14ac:dyDescent="0.4">
      <c r="A10" t="s">
        <v>8</v>
      </c>
      <c r="B10">
        <v>414271</v>
      </c>
      <c r="C10">
        <f>total2!C8/total2!B8</f>
        <v>5.5239203323428382E-2</v>
      </c>
      <c r="D10" t="e">
        <f>total2!#REF!/total2!B8</f>
        <v>#REF!</v>
      </c>
      <c r="E10">
        <f>total2!D8/total2!B8</f>
        <v>0.1423633322149028</v>
      </c>
      <c r="F10">
        <v>3857</v>
      </c>
      <c r="G10">
        <f>total2!F8/total2!W8</f>
        <v>20.526838966202781</v>
      </c>
      <c r="H10">
        <f>total2!G8/1000000/total2!W8</f>
        <v>3.3881510934393635E-2</v>
      </c>
      <c r="I10">
        <f>total2!H8/total2!W8</f>
        <v>431.80914512922465</v>
      </c>
      <c r="J10">
        <v>6.63</v>
      </c>
      <c r="K10">
        <v>2994059</v>
      </c>
      <c r="L10">
        <f>total2!K8/total2!W8</f>
        <v>1.5904572564612325</v>
      </c>
      <c r="M10">
        <f>total2!L8/total2!W8</f>
        <v>211.97813121272364</v>
      </c>
      <c r="N10">
        <f>total2!M8/total2!B8</f>
        <v>297.84339236876343</v>
      </c>
      <c r="O10">
        <f>total2!N8/total2!$W8</f>
        <v>0.89463220675944333</v>
      </c>
      <c r="P10">
        <f>total2!O8/total2!$W8</f>
        <v>0.34791252485089463</v>
      </c>
      <c r="Q10">
        <f>total2!P8/total2!$W8</f>
        <v>29.870775347912524</v>
      </c>
      <c r="R10">
        <v>1.5</v>
      </c>
      <c r="S10">
        <f>total2!Q8/total2!$W8</f>
        <v>56.063618290258447</v>
      </c>
      <c r="T10">
        <f>total2!R8/total2!$W8</f>
        <v>34.045725646123259</v>
      </c>
      <c r="U10">
        <f>total2!S8/total2!$W8</f>
        <v>1.7892644135188867</v>
      </c>
      <c r="V10">
        <f>total2!T8/total2!$B8</f>
        <v>0.27915301819340482</v>
      </c>
      <c r="W10">
        <f>total2!U8/total2!$B8</f>
        <v>0.27770227701190764</v>
      </c>
      <c r="X10">
        <f>total2!V8/total2!$B8</f>
        <v>0.12284953569040556</v>
      </c>
    </row>
    <row r="11" spans="1:24" x14ac:dyDescent="0.4">
      <c r="A11" t="s">
        <v>9</v>
      </c>
      <c r="B11">
        <v>240680</v>
      </c>
      <c r="C11">
        <f>total2!C9/total2!B9</f>
        <v>5.6174173176001332E-2</v>
      </c>
      <c r="D11" t="e">
        <f>total2!#REF!/total2!B9</f>
        <v>#REF!</v>
      </c>
      <c r="E11">
        <f>total2!D9/total2!B9</f>
        <v>0.20993850756190793</v>
      </c>
      <c r="F11">
        <v>2577</v>
      </c>
      <c r="G11">
        <f>total2!F9/total2!W9</f>
        <v>16.359447004608295</v>
      </c>
      <c r="H11">
        <f>total2!G9/1000000/total2!W9</f>
        <v>3.2361904761904765E-2</v>
      </c>
      <c r="I11">
        <f>total2!H9/total2!W9</f>
        <v>397.0046082949309</v>
      </c>
      <c r="J11">
        <v>6.21</v>
      </c>
      <c r="K11">
        <v>2632285</v>
      </c>
      <c r="L11">
        <f>total2!K9/total2!W9</f>
        <v>3.3794162826420893</v>
      </c>
      <c r="M11">
        <f>total2!L9/total2!W9</f>
        <v>228.72503840245776</v>
      </c>
      <c r="N11">
        <f>total2!M9/total2!B9</f>
        <v>277.34869536313778</v>
      </c>
      <c r="O11">
        <f>total2!N9/total2!$W9</f>
        <v>0.99846390168970822</v>
      </c>
      <c r="P11">
        <f>total2!O9/total2!$W9</f>
        <v>0.2304147465437788</v>
      </c>
      <c r="Q11">
        <f>total2!P9/total2!$W9</f>
        <v>27.496159754224273</v>
      </c>
      <c r="R11">
        <v>1.6</v>
      </c>
      <c r="S11">
        <f>total2!Q9/total2!$W9</f>
        <v>74.884792626728114</v>
      </c>
      <c r="T11">
        <f>total2!R9/total2!$W9</f>
        <v>53.37941628264209</v>
      </c>
      <c r="U11">
        <f>total2!S9/total2!$W9</f>
        <v>0.69124423963133641</v>
      </c>
      <c r="V11">
        <f>total2!T9/total2!$B9</f>
        <v>0.29808874854578693</v>
      </c>
      <c r="W11">
        <f>total2!U9/total2!$B9</f>
        <v>0.35778211733421972</v>
      </c>
      <c r="X11">
        <f>total2!V9/total2!$B9</f>
        <v>0.10676416819012798</v>
      </c>
    </row>
    <row r="12" spans="1:24" x14ac:dyDescent="0.4">
      <c r="A12" t="s">
        <v>10</v>
      </c>
      <c r="B12">
        <v>501727</v>
      </c>
      <c r="C12">
        <f>total2!C10/total2!B10</f>
        <v>9.2938988732916509E-3</v>
      </c>
      <c r="D12" t="e">
        <f>total2!#REF!/total2!B10</f>
        <v>#REF!</v>
      </c>
      <c r="E12">
        <f>total2!D10/total2!B10</f>
        <v>0.12561014256757161</v>
      </c>
      <c r="F12">
        <v>3896</v>
      </c>
      <c r="G12">
        <f>total2!F10/total2!W10</f>
        <v>11.709932279909708</v>
      </c>
      <c r="H12">
        <f>total2!G10/1000000/total2!W10</f>
        <v>1.9004147855530475E-2</v>
      </c>
      <c r="I12">
        <f>total2!H10/total2!W10</f>
        <v>268.34085778781042</v>
      </c>
      <c r="J12">
        <v>6.25</v>
      </c>
      <c r="K12">
        <v>3195375</v>
      </c>
      <c r="L12">
        <f>total2!K10/total2!W10</f>
        <v>0.59255079006772016</v>
      </c>
      <c r="M12">
        <f>total2!L10/total2!W10</f>
        <v>73.730248306997751</v>
      </c>
      <c r="N12">
        <f>total2!M10/total2!B10</f>
        <v>216.73155122207893</v>
      </c>
      <c r="O12">
        <f>total2!N10/total2!$W10</f>
        <v>0.47968397291196391</v>
      </c>
      <c r="P12">
        <f>total2!O10/total2!$W10</f>
        <v>0.16930022573363432</v>
      </c>
      <c r="Q12">
        <f>total2!P10/total2!$W10</f>
        <v>21.218961625282169</v>
      </c>
      <c r="R12">
        <v>1.3</v>
      </c>
      <c r="S12">
        <f>total2!Q10/total2!$W10</f>
        <v>35.665914221218962</v>
      </c>
      <c r="T12">
        <f>total2!R10/total2!$W10</f>
        <v>19.667042889390519</v>
      </c>
      <c r="U12">
        <f>total2!S10/total2!$W10</f>
        <v>0.7618510158013545</v>
      </c>
      <c r="V12">
        <f>total2!T10/total2!$B10</f>
        <v>0.25864065517701856</v>
      </c>
      <c r="W12">
        <f>total2!U10/total2!$B10</f>
        <v>0.27121322950528876</v>
      </c>
      <c r="X12">
        <f>total2!V10/total2!$B10</f>
        <v>0.16783629344244977</v>
      </c>
    </row>
    <row r="13" spans="1:24" x14ac:dyDescent="0.4">
      <c r="A13" t="s">
        <v>11</v>
      </c>
      <c r="B13">
        <v>308864</v>
      </c>
      <c r="C13">
        <f>total2!C11/total2!B11</f>
        <v>8.1524554496477421E-3</v>
      </c>
      <c r="D13" t="e">
        <f>total2!#REF!/total2!B11</f>
        <v>#REF!</v>
      </c>
      <c r="E13">
        <f>total2!D11/total2!B11</f>
        <v>0.12867799419809367</v>
      </c>
      <c r="F13">
        <v>2141</v>
      </c>
      <c r="G13">
        <f>total2!F11/total2!W11</f>
        <v>15.690072639225182</v>
      </c>
      <c r="H13">
        <f>total2!G11/1000000/total2!W11</f>
        <v>1.2899370460048427E-2</v>
      </c>
      <c r="I13">
        <f>total2!H11/total2!W11</f>
        <v>243.68038740920099</v>
      </c>
      <c r="J13">
        <v>6.36</v>
      </c>
      <c r="K13">
        <v>2785111</v>
      </c>
      <c r="L13">
        <f>total2!K11/total2!W11</f>
        <v>0.92009685230024219</v>
      </c>
      <c r="M13">
        <f>total2!L11/total2!W11</f>
        <v>106.34382566585957</v>
      </c>
      <c r="N13">
        <f>total2!M11/total2!B11</f>
        <v>219.31942861583093</v>
      </c>
      <c r="O13">
        <f>total2!N11/total2!$W11</f>
        <v>0.48426150121065381</v>
      </c>
      <c r="P13">
        <f>total2!O11/total2!$W11</f>
        <v>0.24213075060532691</v>
      </c>
      <c r="Q13">
        <f>total2!P11/total2!$W11</f>
        <v>18.159806295399516</v>
      </c>
      <c r="R13">
        <v>1.5</v>
      </c>
      <c r="S13">
        <f>total2!Q11/total2!$W11</f>
        <v>56.658595641646492</v>
      </c>
      <c r="T13">
        <f>total2!R11/total2!$W11</f>
        <v>33.753026634382572</v>
      </c>
      <c r="U13">
        <f>total2!S11/total2!$W11</f>
        <v>0</v>
      </c>
      <c r="V13">
        <f>total2!T11/total2!$B11</f>
        <v>0.24853333506009118</v>
      </c>
      <c r="W13">
        <f>total2!U11/total2!$B11</f>
        <v>0.29327147223373395</v>
      </c>
      <c r="X13">
        <f>total2!V11/total2!$B11</f>
        <v>0.13260852673021137</v>
      </c>
    </row>
    <row r="14" spans="1:24" x14ac:dyDescent="0.4">
      <c r="A14" t="s">
        <v>12</v>
      </c>
      <c r="B14">
        <v>360211</v>
      </c>
      <c r="C14">
        <f>total2!C12/total2!B12</f>
        <v>5.0592569355183491E-2</v>
      </c>
      <c r="D14" t="e">
        <f>total2!#REF!/total2!B12</f>
        <v>#REF!</v>
      </c>
      <c r="E14">
        <f>total2!D12/total2!B12</f>
        <v>0.1892474133216365</v>
      </c>
      <c r="F14">
        <v>3253</v>
      </c>
      <c r="G14">
        <f>total2!F12/total2!W12</f>
        <v>22.644163150492265</v>
      </c>
      <c r="H14">
        <f>total2!G12/1000000/total2!W12</f>
        <v>2.9632067510548522E-2</v>
      </c>
      <c r="I14">
        <f>total2!H12/total2!W12</f>
        <v>598.94514767932492</v>
      </c>
      <c r="J14">
        <v>6.4</v>
      </c>
      <c r="K14">
        <v>3030256</v>
      </c>
      <c r="L14">
        <f>total2!K12/total2!W12</f>
        <v>3.7271448663853723</v>
      </c>
      <c r="M14">
        <f>total2!L12/total2!W12</f>
        <v>216.38537271448664</v>
      </c>
      <c r="N14">
        <f>total2!M12/total2!B12</f>
        <v>271.90372309563008</v>
      </c>
      <c r="O14">
        <f>total2!N12/total2!$W12</f>
        <v>1.4767932489451476</v>
      </c>
      <c r="P14">
        <f>total2!O12/total2!$W12</f>
        <v>0.42194092827004215</v>
      </c>
      <c r="Q14">
        <f>total2!P12/total2!$W12</f>
        <v>41.983122362869196</v>
      </c>
      <c r="R14">
        <v>1.2</v>
      </c>
      <c r="S14">
        <f>total2!Q12/total2!$W12</f>
        <v>69.620253164556956</v>
      </c>
      <c r="T14">
        <f>total2!R12/total2!$W12</f>
        <v>50.843881856540079</v>
      </c>
      <c r="U14">
        <f>total2!S12/total2!$W12</f>
        <v>2.7426160337552741</v>
      </c>
      <c r="V14">
        <f>total2!T12/total2!$B12</f>
        <v>0.23391012489901752</v>
      </c>
      <c r="W14">
        <f>total2!U12/total2!$B12</f>
        <v>0.27423648916884824</v>
      </c>
      <c r="X14">
        <f>total2!V12/total2!$B12</f>
        <v>0.14016229376670897</v>
      </c>
    </row>
    <row r="15" spans="1:24" x14ac:dyDescent="0.4">
      <c r="A15" t="s">
        <v>13</v>
      </c>
      <c r="B15">
        <v>389576</v>
      </c>
      <c r="C15">
        <f>total2!C13/total2!B13</f>
        <v>2.8048442409183316E-2</v>
      </c>
      <c r="D15" t="e">
        <f>total2!#REF!/total2!B13</f>
        <v>#REF!</v>
      </c>
      <c r="E15">
        <f>total2!D13/total2!B13</f>
        <v>0.18425673039406945</v>
      </c>
      <c r="F15">
        <v>2735</v>
      </c>
      <c r="G15">
        <f>total2!F13/total2!W13</f>
        <v>15.342298288508559</v>
      </c>
      <c r="H15">
        <f>total2!G13/1000000/total2!W13</f>
        <v>1.7300006112469436E-2</v>
      </c>
      <c r="I15">
        <f>total2!H13/total2!W13</f>
        <v>377.200488997555</v>
      </c>
      <c r="J15">
        <v>6.49</v>
      </c>
      <c r="K15">
        <v>3454170</v>
      </c>
      <c r="L15">
        <f>total2!K13/total2!W13</f>
        <v>2.6894865525672373</v>
      </c>
      <c r="M15">
        <f>total2!L13/total2!W13</f>
        <v>162.34718826405867</v>
      </c>
      <c r="N15">
        <f>total2!M13/total2!B13</f>
        <v>280.76012382692977</v>
      </c>
      <c r="O15">
        <f>total2!N13/total2!$W13</f>
        <v>1.1002444987775062</v>
      </c>
      <c r="P15">
        <f>total2!O13/total2!$W13</f>
        <v>0.30562347188264061</v>
      </c>
      <c r="Q15">
        <f>total2!P13/total2!$W13</f>
        <v>36.369193154034228</v>
      </c>
      <c r="R15">
        <v>1.1000000000000001</v>
      </c>
      <c r="S15">
        <f>total2!Q13/total2!$W13</f>
        <v>83.190709046454771</v>
      </c>
      <c r="T15">
        <f>total2!R13/total2!$W13</f>
        <v>52.322738386308068</v>
      </c>
      <c r="U15">
        <f>total2!S13/total2!$W13</f>
        <v>1.6503667481662592</v>
      </c>
      <c r="V15">
        <f>total2!T13/total2!$B13</f>
        <v>0.24278703000184818</v>
      </c>
      <c r="W15">
        <f>total2!U13/total2!$B13</f>
        <v>0.28280232868554533</v>
      </c>
      <c r="X15">
        <f>total2!V13/total2!$B13</f>
        <v>0.1386815409573485</v>
      </c>
    </row>
    <row r="16" spans="1:24" x14ac:dyDescent="0.4">
      <c r="A16" t="s">
        <v>14</v>
      </c>
      <c r="B16">
        <v>374962</v>
      </c>
      <c r="C16">
        <f>total2!C14/total2!B14</f>
        <v>3.0181725081474924E-2</v>
      </c>
      <c r="D16" t="e">
        <f>total2!#REF!/total2!B14</f>
        <v>#REF!</v>
      </c>
      <c r="E16">
        <f>total2!D14/total2!B14</f>
        <v>0.18676559224668099</v>
      </c>
      <c r="F16">
        <v>4096</v>
      </c>
      <c r="G16">
        <f>total2!F14/total2!W14</f>
        <v>17.651991614255763</v>
      </c>
      <c r="H16">
        <f>total2!G14/1000000/total2!W14</f>
        <v>3.716584067085954E-2</v>
      </c>
      <c r="I16">
        <f>total2!H14/total2!W14</f>
        <v>377.69392033542977</v>
      </c>
      <c r="J16">
        <v>6.39</v>
      </c>
      <c r="K16">
        <v>3832436</v>
      </c>
      <c r="L16">
        <f>total2!K14/total2!W14</f>
        <v>1.8448637316561844</v>
      </c>
      <c r="M16">
        <f>total2!L14/total2!W14</f>
        <v>126.41509433962264</v>
      </c>
      <c r="N16">
        <f>total2!M14/total2!B14</f>
        <v>395.05633104154555</v>
      </c>
      <c r="O16">
        <f>total2!N14/total2!$W14</f>
        <v>0.67085953878406701</v>
      </c>
      <c r="P16">
        <f>total2!O14/total2!$W14</f>
        <v>0.29350104821802936</v>
      </c>
      <c r="Q16">
        <f>total2!P14/total2!$W14</f>
        <v>32.20125786163522</v>
      </c>
      <c r="R16">
        <v>1.2</v>
      </c>
      <c r="S16">
        <f>total2!Q14/total2!$W14</f>
        <v>64.737945492662476</v>
      </c>
      <c r="T16">
        <f>total2!R14/total2!$W14</f>
        <v>36.100628930817606</v>
      </c>
      <c r="U16">
        <f>total2!S14/total2!$W14</f>
        <v>1.3836477987421383</v>
      </c>
      <c r="V16">
        <f>total2!T14/total2!$B14</f>
        <v>0.27185421456040881</v>
      </c>
      <c r="W16">
        <f>total2!U14/total2!$B14</f>
        <v>0.3063723790677455</v>
      </c>
      <c r="X16">
        <f>total2!V14/total2!$B14</f>
        <v>0.13933411919074465</v>
      </c>
    </row>
    <row r="17" spans="1:24" x14ac:dyDescent="0.4">
      <c r="A17" t="s">
        <v>15</v>
      </c>
      <c r="B17">
        <v>320378</v>
      </c>
      <c r="C17">
        <f>total2!C15/total2!B15</f>
        <v>4.4921935963143533E-2</v>
      </c>
      <c r="D17" t="e">
        <f>total2!#REF!/total2!B15</f>
        <v>#REF!</v>
      </c>
      <c r="E17">
        <f>total2!D15/total2!B15</f>
        <v>0.16944983737959535</v>
      </c>
      <c r="F17">
        <v>2374</v>
      </c>
      <c r="G17">
        <f>total2!F15/total2!W15</f>
        <v>13.669880884855361</v>
      </c>
      <c r="H17">
        <f>total2!G15/1000000/total2!W15</f>
        <v>1.4452467385138968E-2</v>
      </c>
      <c r="I17">
        <f>total2!H15/total2!W15</f>
        <v>341.17980714690867</v>
      </c>
      <c r="J17">
        <v>6.79</v>
      </c>
      <c r="K17">
        <v>3417706</v>
      </c>
      <c r="L17">
        <f>total2!K15/total2!W15</f>
        <v>1.5314804310833807</v>
      </c>
      <c r="M17">
        <f>total2!L15/total2!W15</f>
        <v>176.80090754395917</v>
      </c>
      <c r="N17">
        <f>total2!M15/total2!B15</f>
        <v>299.51533501051881</v>
      </c>
      <c r="O17">
        <f>total2!N15/total2!$W15</f>
        <v>0.68065796937039147</v>
      </c>
      <c r="P17">
        <f>total2!O15/total2!$W15</f>
        <v>0.2836074872376631</v>
      </c>
      <c r="Q17">
        <f>total2!P15/total2!$W15</f>
        <v>24.957458876914352</v>
      </c>
      <c r="R17">
        <v>1.2</v>
      </c>
      <c r="S17">
        <f>total2!Q15/total2!$W15</f>
        <v>105.5587067498582</v>
      </c>
      <c r="T17">
        <f>total2!R15/total2!$W15</f>
        <v>56.211003970504827</v>
      </c>
      <c r="U17">
        <f>total2!S15/total2!$W15</f>
        <v>0.90754395916052188</v>
      </c>
      <c r="V17">
        <f>total2!T15/total2!$B15</f>
        <v>0.24202660607157794</v>
      </c>
      <c r="W17">
        <f>total2!U15/total2!$B15</f>
        <v>0.27697282584946531</v>
      </c>
      <c r="X17">
        <f>total2!V15/total2!$B15</f>
        <v>0.1429779822584572</v>
      </c>
    </row>
    <row r="18" spans="1:24" x14ac:dyDescent="0.4">
      <c r="A18" t="s">
        <v>16</v>
      </c>
      <c r="B18">
        <v>412275</v>
      </c>
      <c r="C18">
        <f>total2!C16/total2!B16</f>
        <v>1.0757382814868717E-2</v>
      </c>
      <c r="D18" t="e">
        <f>total2!#REF!/total2!B16</f>
        <v>#REF!</v>
      </c>
      <c r="E18">
        <f>total2!D16/total2!B16</f>
        <v>0.11338305742526227</v>
      </c>
      <c r="F18">
        <v>4459</v>
      </c>
      <c r="G18">
        <f>total2!F16/total2!W16</f>
        <v>6.8767298275495001</v>
      </c>
      <c r="H18">
        <f>total2!G16/1000000/total2!W16</f>
        <v>3.0809325101128382E-2</v>
      </c>
      <c r="I18">
        <f>total2!H16/total2!W16</f>
        <v>268.98020012774111</v>
      </c>
      <c r="J18">
        <v>6.42</v>
      </c>
      <c r="K18">
        <v>4912401</v>
      </c>
      <c r="L18">
        <f>total2!K16/total2!W16</f>
        <v>0.80902703853523528</v>
      </c>
      <c r="M18">
        <f>total2!L16/total2!W16</f>
        <v>71.173089205876096</v>
      </c>
      <c r="N18">
        <f>total2!M16/total2!B16</f>
        <v>464.05507003820264</v>
      </c>
      <c r="O18">
        <f>total2!N16/total2!$W16</f>
        <v>0.44709388971684055</v>
      </c>
      <c r="P18">
        <f>total2!O16/total2!$W16</f>
        <v>0.14903129657228018</v>
      </c>
      <c r="Q18">
        <f>total2!P16/total2!$W16</f>
        <v>29.188843942942306</v>
      </c>
      <c r="R18">
        <v>1.1000000000000001</v>
      </c>
      <c r="S18">
        <f>total2!Q16/total2!$W16</f>
        <v>32.254630615286352</v>
      </c>
      <c r="T18">
        <f>total2!R16/total2!$W16</f>
        <v>22.056631892697467</v>
      </c>
      <c r="U18">
        <f>total2!S16/total2!$W16</f>
        <v>0.80902703853523528</v>
      </c>
      <c r="V18">
        <f>total2!T16/total2!$B16</f>
        <v>0.37084470317142681</v>
      </c>
      <c r="W18">
        <f>total2!U16/total2!$B16</f>
        <v>0.37176884361166695</v>
      </c>
      <c r="X18">
        <f>total2!V16/total2!$B16</f>
        <v>0.17223697774543689</v>
      </c>
    </row>
    <row r="19" spans="1:24" x14ac:dyDescent="0.4">
      <c r="A19" t="s">
        <v>17</v>
      </c>
      <c r="B19">
        <v>284258</v>
      </c>
      <c r="C19">
        <f>total2!C17/total2!B17</f>
        <v>2.5659787939125725E-2</v>
      </c>
      <c r="D19" t="e">
        <f>total2!#REF!/total2!B17</f>
        <v>#REF!</v>
      </c>
      <c r="E19">
        <f>total2!D17/total2!B17</f>
        <v>0.16375264724299757</v>
      </c>
      <c r="F19">
        <v>2194</v>
      </c>
      <c r="G19">
        <f>total2!F17/total2!W17</f>
        <v>24.55410225921522</v>
      </c>
      <c r="H19">
        <f>total2!G17/1000000/total2!W17</f>
        <v>1.8520344827586209E-2</v>
      </c>
      <c r="I19">
        <f>total2!H17/total2!W17</f>
        <v>373.54340071343637</v>
      </c>
      <c r="J19">
        <v>6.87</v>
      </c>
      <c r="K19">
        <v>3734499</v>
      </c>
      <c r="L19">
        <f>total2!K17/total2!W17</f>
        <v>1.2485136741973841</v>
      </c>
      <c r="M19">
        <f>total2!L17/total2!W17</f>
        <v>230.14268727705112</v>
      </c>
      <c r="N19">
        <f>total2!M17/total2!B17</f>
        <v>338.02892090987763</v>
      </c>
      <c r="O19">
        <f>total2!N17/total2!$W17</f>
        <v>0.95124851367419738</v>
      </c>
      <c r="P19">
        <f>total2!O17/total2!$W17</f>
        <v>0.29726516052318669</v>
      </c>
      <c r="Q19">
        <f>total2!P17/total2!$W17</f>
        <v>27.705112960760999</v>
      </c>
      <c r="R19">
        <v>1.2</v>
      </c>
      <c r="S19">
        <f>total2!Q17/total2!$W17</f>
        <v>99.821640903686088</v>
      </c>
      <c r="T19">
        <f>total2!R17/total2!$W17</f>
        <v>65.279429250891795</v>
      </c>
      <c r="U19">
        <f>total2!S17/total2!$W17</f>
        <v>0.89179548156956001</v>
      </c>
      <c r="V19">
        <f>total2!T17/total2!$B17</f>
        <v>0.28918095532931354</v>
      </c>
      <c r="W19">
        <f>total2!U17/total2!$B17</f>
        <v>0.27142947603937267</v>
      </c>
      <c r="X19">
        <f>total2!V17/total2!$B17</f>
        <v>0.12911158173208845</v>
      </c>
    </row>
    <row r="20" spans="1:24" x14ac:dyDescent="0.4">
      <c r="A20" t="s">
        <v>18</v>
      </c>
      <c r="B20">
        <v>436901</v>
      </c>
      <c r="C20">
        <f>total2!C18/total2!B18</f>
        <v>2.7511953508918496E-2</v>
      </c>
      <c r="D20" t="e">
        <f>total2!#REF!/total2!B18</f>
        <v>#REF!</v>
      </c>
      <c r="E20">
        <f>total2!D18/total2!B18</f>
        <v>0.15386094332583355</v>
      </c>
      <c r="F20">
        <v>2749</v>
      </c>
      <c r="G20">
        <f>total2!F18/total2!W18</f>
        <v>14.727420667209113</v>
      </c>
      <c r="H20">
        <f>total2!G18/1000000/total2!W18</f>
        <v>1.6796623270951994E-2</v>
      </c>
      <c r="I20">
        <f>total2!H18/total2!W18</f>
        <v>235.80146460537023</v>
      </c>
      <c r="J20">
        <v>6.75</v>
      </c>
      <c r="K20">
        <v>3281773</v>
      </c>
      <c r="L20">
        <f>total2!K18/total2!W18</f>
        <v>0.32546786004882022</v>
      </c>
      <c r="M20">
        <f>total2!L18/total2!W18</f>
        <v>171.52156224572823</v>
      </c>
      <c r="N20">
        <f>total2!M18/total2!B18</f>
        <v>258.16205501932933</v>
      </c>
      <c r="O20">
        <f>total2!N18/total2!$W18</f>
        <v>1.0577705451586656</v>
      </c>
      <c r="P20">
        <f>total2!O18/total2!$W18</f>
        <v>0.20341741253051263</v>
      </c>
      <c r="Q20">
        <f>total2!P18/total2!$W18</f>
        <v>22.009764035801467</v>
      </c>
      <c r="R20">
        <v>1.2</v>
      </c>
      <c r="S20">
        <f>total2!Q18/total2!$W18</f>
        <v>68.999186330349886</v>
      </c>
      <c r="T20">
        <f>total2!R18/total2!$W18</f>
        <v>46.09438567941416</v>
      </c>
      <c r="U20">
        <f>total2!S18/total2!$W18</f>
        <v>1.2205044751830758</v>
      </c>
      <c r="V20">
        <f>total2!T18/total2!$B18</f>
        <v>0.24121482898871827</v>
      </c>
      <c r="W20">
        <f>total2!U18/total2!$B18</f>
        <v>0.25980027511953507</v>
      </c>
      <c r="X20">
        <f>total2!V18/total2!$B18</f>
        <v>0.15947319873380927</v>
      </c>
    </row>
    <row r="21" spans="1:24" x14ac:dyDescent="0.4">
      <c r="A21" t="s">
        <v>19</v>
      </c>
      <c r="B21">
        <v>659661</v>
      </c>
      <c r="C21">
        <f>total2!C19/total2!B19</f>
        <v>8.9818861506137243E-3</v>
      </c>
      <c r="D21" t="e">
        <f>total2!#REF!/total2!B19</f>
        <v>#REF!</v>
      </c>
      <c r="E21">
        <f>total2!D19/total2!B19</f>
        <v>0.12502330742608703</v>
      </c>
      <c r="F21">
        <v>5167</v>
      </c>
      <c r="G21">
        <f>total2!F19/total2!W19</f>
        <v>10.035419126328216</v>
      </c>
      <c r="H21">
        <f>total2!G19/1000000/total2!W19</f>
        <v>2.9559430342384882E-2</v>
      </c>
      <c r="I21">
        <f>total2!H19/total2!W19</f>
        <v>448.55371900826441</v>
      </c>
      <c r="J21">
        <v>6.96</v>
      </c>
      <c r="K21">
        <v>3995905</v>
      </c>
      <c r="L21">
        <f>total2!K19/total2!W19</f>
        <v>2.4498229043683586</v>
      </c>
      <c r="M21">
        <f>total2!L19/total2!W19</f>
        <v>102.44982290436835</v>
      </c>
      <c r="N21">
        <f>total2!M19/total2!B19</f>
        <v>252.28663965279137</v>
      </c>
      <c r="O21">
        <f>total2!N19/total2!$W19</f>
        <v>0.64935064935064934</v>
      </c>
      <c r="P21">
        <f>total2!O19/total2!$W19</f>
        <v>0.20661157024793386</v>
      </c>
      <c r="Q21">
        <f>total2!P19/total2!$W19</f>
        <v>36.894923258559622</v>
      </c>
      <c r="R21">
        <v>1.2</v>
      </c>
      <c r="S21">
        <f>total2!Q19/total2!$W19</f>
        <v>47.992916174734354</v>
      </c>
      <c r="T21">
        <f>total2!R19/total2!$W19</f>
        <v>33.766233766233761</v>
      </c>
      <c r="U21">
        <f>total2!S19/total2!$W19</f>
        <v>1.2396694214876032</v>
      </c>
      <c r="V21">
        <f>total2!T19/total2!$B19</f>
        <v>0.31405070179986389</v>
      </c>
      <c r="W21">
        <f>total2!U19/total2!$B19</f>
        <v>0.31901234118736743</v>
      </c>
      <c r="X21">
        <f>total2!V19/total2!$B19</f>
        <v>0.1473211240318891</v>
      </c>
    </row>
    <row r="22" spans="1:24" x14ac:dyDescent="0.4">
      <c r="A22" t="s">
        <v>20</v>
      </c>
      <c r="B22">
        <v>437774</v>
      </c>
      <c r="C22">
        <f>total2!C20/total2!B20</f>
        <v>7.4147847976353091E-3</v>
      </c>
      <c r="D22" t="e">
        <f>total2!#REF!/total2!B20</f>
        <v>#REF!</v>
      </c>
      <c r="E22">
        <f>total2!D20/total2!B20</f>
        <v>0.10393947561984038</v>
      </c>
      <c r="F22">
        <v>3169</v>
      </c>
      <c r="G22">
        <f>total2!F20/total2!W20</f>
        <v>14.589316484778863</v>
      </c>
      <c r="H22">
        <f>total2!G20/1000000/total2!W20</f>
        <v>2.7677311889718552E-2</v>
      </c>
      <c r="I22">
        <f>total2!H20/total2!W20</f>
        <v>508.21367030442275</v>
      </c>
      <c r="J22">
        <v>6.14</v>
      </c>
      <c r="K22">
        <v>3796034</v>
      </c>
      <c r="L22">
        <f>total2!K20/total2!W20</f>
        <v>0.22975301550832855</v>
      </c>
      <c r="M22">
        <f>total2!L20/total2!W20</f>
        <v>233.4290637564618</v>
      </c>
      <c r="N22">
        <f>total2!M20/total2!B20</f>
        <v>190.00471019293059</v>
      </c>
      <c r="O22">
        <f>total2!N20/total2!$W20</f>
        <v>0.9190120620333142</v>
      </c>
      <c r="P22">
        <f>total2!O20/total2!$W20</f>
        <v>0.3446295232624928</v>
      </c>
      <c r="Q22">
        <f>total2!P20/total2!$W20</f>
        <v>38.081562320505455</v>
      </c>
      <c r="R22">
        <v>1.3</v>
      </c>
      <c r="S22">
        <f>total2!Q20/total2!$W20</f>
        <v>116.48477886272258</v>
      </c>
      <c r="T22">
        <f>total2!R20/total2!$W20</f>
        <v>67.087880528431938</v>
      </c>
      <c r="U22">
        <f>total2!S20/total2!$W20</f>
        <v>0.74669730040206772</v>
      </c>
      <c r="V22">
        <f>total2!T20/total2!$B20</f>
        <v>0.29213703874601965</v>
      </c>
      <c r="W22">
        <f>total2!U20/total2!$B20</f>
        <v>0.29109312110815172</v>
      </c>
      <c r="X22">
        <f>total2!V20/total2!$B20</f>
        <v>0.17308017378830173</v>
      </c>
    </row>
    <row r="23" spans="1:24" x14ac:dyDescent="0.4">
      <c r="A23" t="s">
        <v>21</v>
      </c>
      <c r="B23">
        <v>397942</v>
      </c>
      <c r="C23">
        <f>total2!C21/total2!B21</f>
        <v>5.7279704077478628E-2</v>
      </c>
      <c r="D23" t="e">
        <f>total2!#REF!/total2!B21</f>
        <v>#REF!</v>
      </c>
      <c r="E23">
        <f>total2!D21/total2!B21</f>
        <v>0.18586125616295843</v>
      </c>
      <c r="F23">
        <v>4819</v>
      </c>
      <c r="G23">
        <f>total2!F21/total2!W21</f>
        <v>16.822810590631363</v>
      </c>
      <c r="H23">
        <f>total2!G21/1000000/total2!W21</f>
        <v>3.2728594704684318E-2</v>
      </c>
      <c r="I23">
        <f>total2!H21/total2!W21</f>
        <v>406.76171079429736</v>
      </c>
      <c r="J23">
        <v>5.28</v>
      </c>
      <c r="K23">
        <v>3604887</v>
      </c>
      <c r="L23">
        <f>total2!K21/total2!W21</f>
        <v>5.0101832993890021</v>
      </c>
      <c r="M23">
        <f>total2!L21/total2!W21</f>
        <v>162.40325865580448</v>
      </c>
      <c r="N23">
        <f>total2!M21/total2!B21</f>
        <v>395.78507671972295</v>
      </c>
      <c r="O23">
        <f>total2!N21/total2!$W21</f>
        <v>0.65173116089613037</v>
      </c>
      <c r="P23">
        <f>total2!O21/total2!$W21</f>
        <v>0.24439918533604887</v>
      </c>
      <c r="Q23">
        <f>total2!P21/total2!$W21</f>
        <v>32.464358452138491</v>
      </c>
      <c r="R23">
        <v>1.2</v>
      </c>
      <c r="S23">
        <f>total2!Q21/total2!$W21</f>
        <v>78.615071283095716</v>
      </c>
      <c r="T23">
        <f>total2!R21/total2!$W21</f>
        <v>48.757637474541752</v>
      </c>
      <c r="U23">
        <f>total2!S21/total2!$W21</f>
        <v>0.855397148676171</v>
      </c>
      <c r="V23">
        <f>total2!T21/total2!$B21</f>
        <v>0.29732473576551355</v>
      </c>
      <c r="W23">
        <f>total2!U21/total2!$B21</f>
        <v>0.25269009051570329</v>
      </c>
      <c r="X23">
        <f>total2!V21/total2!$B21</f>
        <v>0.11272748289951802</v>
      </c>
    </row>
    <row r="24" spans="1:24" x14ac:dyDescent="0.4">
      <c r="A24" t="s">
        <v>22</v>
      </c>
      <c r="B24">
        <v>223433</v>
      </c>
      <c r="C24">
        <f>total2!C22/total2!B22</f>
        <v>6.079674891354455E-2</v>
      </c>
      <c r="D24" t="e">
        <f>total2!#REF!/total2!B22</f>
        <v>#REF!</v>
      </c>
      <c r="E24">
        <f>total2!D22/total2!B22</f>
        <v>0.1854560427510708</v>
      </c>
      <c r="F24">
        <v>2967</v>
      </c>
      <c r="G24">
        <f>total2!F22/total2!W22</f>
        <v>15.820759030635573</v>
      </c>
      <c r="H24">
        <f>total2!G22/1000000/total2!W22</f>
        <v>1.6212528577960676E-2</v>
      </c>
      <c r="I24">
        <f>total2!H22/total2!W22</f>
        <v>345.67901234567898</v>
      </c>
      <c r="J24">
        <v>6.44</v>
      </c>
      <c r="K24">
        <v>3971498</v>
      </c>
      <c r="L24">
        <f>total2!K22/total2!W22</f>
        <v>0.96021947873799718</v>
      </c>
      <c r="M24">
        <f>total2!L22/total2!W22</f>
        <v>132.46456332876085</v>
      </c>
      <c r="N24">
        <f>total2!M22/total2!B22</f>
        <v>389.52162393200643</v>
      </c>
      <c r="O24">
        <f>total2!N22/total2!$W22</f>
        <v>0.59442158207590301</v>
      </c>
      <c r="P24">
        <f>total2!O22/total2!$W22</f>
        <v>0.27434842249657065</v>
      </c>
      <c r="Q24">
        <f>total2!P22/total2!$W22</f>
        <v>14.951989026063099</v>
      </c>
      <c r="R24">
        <v>1.5</v>
      </c>
      <c r="S24">
        <f>total2!Q22/total2!$W22</f>
        <v>70.690443529949704</v>
      </c>
      <c r="T24">
        <f>total2!R22/total2!$W22</f>
        <v>54.778235025148604</v>
      </c>
      <c r="U24">
        <f>total2!S22/total2!$W22</f>
        <v>1.0516689529035208</v>
      </c>
      <c r="V24">
        <f>total2!T22/total2!$B22</f>
        <v>0.29049871773641317</v>
      </c>
      <c r="W24">
        <f>total2!U22/total2!$B22</f>
        <v>0.29572175999069072</v>
      </c>
      <c r="X24">
        <f>total2!V22/total2!$B22</f>
        <v>0.11878281184963725</v>
      </c>
    </row>
    <row r="25" spans="1:24" x14ac:dyDescent="0.4">
      <c r="A25" t="s">
        <v>23</v>
      </c>
      <c r="B25">
        <v>470185</v>
      </c>
      <c r="C25">
        <f>total2!C23/total2!B23</f>
        <v>8.8858640747790756E-3</v>
      </c>
      <c r="D25" t="e">
        <f>total2!#REF!/total2!B23</f>
        <v>#REF!</v>
      </c>
      <c r="E25">
        <f>total2!D23/total2!B23</f>
        <v>0.13987898380424726</v>
      </c>
      <c r="F25">
        <v>3487</v>
      </c>
      <c r="G25">
        <f>total2!F23/total2!W23</f>
        <v>8.6502860989565793</v>
      </c>
      <c r="H25">
        <f>total2!G23/1000000/total2!W23</f>
        <v>1.3805553685627735E-2</v>
      </c>
      <c r="I25">
        <f>total2!H23/total2!W23</f>
        <v>221.50790979468192</v>
      </c>
      <c r="J25">
        <v>6.53</v>
      </c>
      <c r="K25">
        <v>2912739</v>
      </c>
      <c r="L25">
        <f>total2!K23/total2!W23</f>
        <v>2.558061258835409</v>
      </c>
      <c r="M25">
        <f>total2!L23/total2!W23</f>
        <v>147.05486368226187</v>
      </c>
      <c r="N25">
        <f>total2!M23/total2!B23</f>
        <v>234.83629422461371</v>
      </c>
      <c r="O25">
        <f>total2!N23/total2!$W23</f>
        <v>0.74049141703130261</v>
      </c>
      <c r="P25">
        <f>total2!O23/total2!$W23</f>
        <v>0.16829350387075059</v>
      </c>
      <c r="Q25">
        <f>total2!P23/total2!$W23</f>
        <v>23.628407943453382</v>
      </c>
      <c r="R25">
        <v>1.5</v>
      </c>
      <c r="S25">
        <f>total2!Q23/total2!$W23</f>
        <v>90.474587680915519</v>
      </c>
      <c r="T25">
        <f>total2!R23/total2!$W23</f>
        <v>46.348030966004714</v>
      </c>
      <c r="U25">
        <f>total2!S23/total2!$W23</f>
        <v>0.90878492090205321</v>
      </c>
      <c r="V25">
        <f>total2!T23/total2!$B23</f>
        <v>0.24351478673288174</v>
      </c>
      <c r="W25">
        <f>total2!U23/total2!$B23</f>
        <v>0.31894679753713961</v>
      </c>
      <c r="X25">
        <f>total2!V23/total2!$B23</f>
        <v>0.13683975456469263</v>
      </c>
    </row>
    <row r="26" spans="1:24" x14ac:dyDescent="0.4">
      <c r="A26" t="s">
        <v>24</v>
      </c>
      <c r="B26">
        <v>150550</v>
      </c>
      <c r="C26">
        <f>total2!C24/total2!B24</f>
        <v>7.3410826967784795E-2</v>
      </c>
      <c r="D26" t="e">
        <f>total2!#REF!/total2!B24</f>
        <v>#REF!</v>
      </c>
      <c r="E26">
        <f>total2!D24/total2!B24</f>
        <v>0.1888010627698439</v>
      </c>
      <c r="F26">
        <v>3138</v>
      </c>
      <c r="G26">
        <f>total2!F24/total2!W24</f>
        <v>28.439983270598077</v>
      </c>
      <c r="H26">
        <f>total2!G24/1000000/total2!W24</f>
        <v>9.5546214972814722E-3</v>
      </c>
      <c r="I26">
        <f>total2!H24/total2!W24</f>
        <v>310.87411125052279</v>
      </c>
      <c r="J26">
        <v>5.39</v>
      </c>
      <c r="K26">
        <v>3725859</v>
      </c>
      <c r="L26">
        <f>total2!K24/total2!W24</f>
        <v>7.4445838561271431</v>
      </c>
      <c r="M26">
        <f>total2!L24/total2!W24</f>
        <v>78.29360100376411</v>
      </c>
      <c r="N26">
        <f>total2!M24/total2!B24</f>
        <v>941.61387578877452</v>
      </c>
      <c r="O26">
        <f>total2!N24/total2!$W24</f>
        <v>1.0455876202425762</v>
      </c>
      <c r="P26">
        <f>total2!O24/total2!$W24</f>
        <v>0.29276453366792138</v>
      </c>
      <c r="Q26">
        <f>total2!P24/total2!$W24</f>
        <v>20.075282308657464</v>
      </c>
      <c r="R26">
        <v>1.4</v>
      </c>
      <c r="S26">
        <f>total2!Q24/total2!$W24</f>
        <v>89.962358845671261</v>
      </c>
      <c r="T26">
        <f>total2!R24/total2!$W24</f>
        <v>61.313258051024675</v>
      </c>
      <c r="U26">
        <f>total2!S24/total2!$W24</f>
        <v>1.0455876202425762</v>
      </c>
      <c r="V26">
        <f>total2!T24/total2!$B24</f>
        <v>0.26209897044171371</v>
      </c>
      <c r="W26">
        <f>total2!U24/total2!$B24</f>
        <v>0.23121222185320492</v>
      </c>
      <c r="X26">
        <f>total2!V24/total2!$B24</f>
        <v>0.13060112919295916</v>
      </c>
    </row>
    <row r="27" spans="1:24" x14ac:dyDescent="0.4">
      <c r="A27" t="s">
        <v>25</v>
      </c>
      <c r="B27">
        <v>131812</v>
      </c>
      <c r="C27">
        <f>total2!C25/total2!B25</f>
        <v>7.7458804964646619E-2</v>
      </c>
      <c r="D27" t="e">
        <f>total2!#REF!/total2!B25</f>
        <v>#REF!</v>
      </c>
      <c r="E27">
        <f>total2!D25/total2!B25</f>
        <v>0.19153794798652626</v>
      </c>
      <c r="F27">
        <v>3071</v>
      </c>
      <c r="G27">
        <f>total2!F25/total2!W25</f>
        <v>38.855421686746986</v>
      </c>
      <c r="H27">
        <f>total2!G25/1000000/total2!W25</f>
        <v>2.2316967871485942E-2</v>
      </c>
      <c r="I27">
        <f>total2!H25/total2!W25</f>
        <v>874.39759036144574</v>
      </c>
      <c r="J27">
        <v>6.48</v>
      </c>
      <c r="K27">
        <v>3513603</v>
      </c>
      <c r="L27">
        <f>total2!K25/total2!W25</f>
        <v>20.08032128514056</v>
      </c>
      <c r="M27">
        <f>total2!L25/total2!W25</f>
        <v>216.56626506024094</v>
      </c>
      <c r="N27">
        <f>total2!M25/total2!B25</f>
        <v>1136.892232877128</v>
      </c>
      <c r="O27">
        <f>total2!N25/total2!$W25</f>
        <v>2.0080321285140559</v>
      </c>
      <c r="P27">
        <f>total2!O25/total2!$W25</f>
        <v>0.70281124497991965</v>
      </c>
      <c r="Q27">
        <f>total2!P25/total2!$W25</f>
        <v>58.132530120481924</v>
      </c>
      <c r="R27">
        <v>1.7</v>
      </c>
      <c r="S27">
        <f>total2!Q25/total2!$W25</f>
        <v>219.37751004016062</v>
      </c>
      <c r="T27">
        <f>total2!R25/total2!$W25</f>
        <v>152.20883534136544</v>
      </c>
      <c r="U27">
        <f>total2!S25/total2!$W25</f>
        <v>12.550200803212851</v>
      </c>
      <c r="V27">
        <f>total2!T25/total2!$B25</f>
        <v>0.32522835553667345</v>
      </c>
      <c r="W27">
        <f>total2!U25/total2!$B25</f>
        <v>0.25792037143810881</v>
      </c>
      <c r="X27">
        <f>total2!V25/total2!$B25</f>
        <v>0.10210754711255425</v>
      </c>
    </row>
    <row r="28" spans="1:24" x14ac:dyDescent="0.4">
      <c r="A28" t="s">
        <v>26</v>
      </c>
      <c r="B28">
        <v>387433</v>
      </c>
      <c r="C28">
        <f>total2!C26/total2!B26</f>
        <v>1.4110826904264738E-2</v>
      </c>
      <c r="D28" t="e">
        <f>total2!#REF!/total2!B26</f>
        <v>#REF!</v>
      </c>
      <c r="E28">
        <f>total2!D26/total2!B26</f>
        <v>0.16605193672196225</v>
      </c>
      <c r="F28">
        <v>3599</v>
      </c>
      <c r="G28">
        <f>total2!F26/total2!W26</f>
        <v>15.891891891891891</v>
      </c>
      <c r="H28">
        <f>total2!G26/1000000/total2!W26</f>
        <v>2.9187783783783783E-2</v>
      </c>
      <c r="I28">
        <f>total2!H26/total2!W26</f>
        <v>414.48648648648651</v>
      </c>
      <c r="J28">
        <v>6.22</v>
      </c>
      <c r="K28">
        <v>2598785</v>
      </c>
      <c r="L28">
        <f>total2!K26/total2!W26</f>
        <v>0.91891891891891897</v>
      </c>
      <c r="M28">
        <f>total2!L26/total2!W26</f>
        <v>225.02702702702703</v>
      </c>
      <c r="N28">
        <f>total2!M26/total2!B26</f>
        <v>204.66492012812537</v>
      </c>
      <c r="O28">
        <f>total2!N26/total2!$W26</f>
        <v>0.97297297297297303</v>
      </c>
      <c r="P28">
        <f>total2!O26/total2!$W26</f>
        <v>0.27027027027027029</v>
      </c>
      <c r="Q28">
        <f>total2!P26/total2!$W26</f>
        <v>29.567567567567568</v>
      </c>
      <c r="R28">
        <v>1.6</v>
      </c>
      <c r="S28">
        <f>total2!Q26/total2!$W26</f>
        <v>109.51351351351352</v>
      </c>
      <c r="T28">
        <f>total2!R26/total2!$W26</f>
        <v>87.081081081081081</v>
      </c>
      <c r="U28">
        <f>total2!S26/total2!$W26</f>
        <v>1.4594594594594594</v>
      </c>
      <c r="V28">
        <f>total2!T26/total2!$B26</f>
        <v>0.23618019115563207</v>
      </c>
      <c r="W28">
        <f>total2!U26/total2!$B26</f>
        <v>0.26198078119313534</v>
      </c>
      <c r="X28">
        <f>total2!V26/total2!$B26</f>
        <v>0.11764098566719923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total2</vt:lpstr>
      <vt:lpstr>Sheet1</vt:lpstr>
      <vt:lpstr>비율 조정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영서 박</dc:creator>
  <cp:lastModifiedBy>영서 박</cp:lastModifiedBy>
  <dcterms:created xsi:type="dcterms:W3CDTF">2024-06-15T07:01:24Z</dcterms:created>
  <dcterms:modified xsi:type="dcterms:W3CDTF">2024-07-18T13:06:03Z</dcterms:modified>
</cp:coreProperties>
</file>